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skyglobal-my.sharepoint.com/personal/kumudha_glory_skytv_it/Documents/Desktop/"/>
    </mc:Choice>
  </mc:AlternateContent>
  <xr:revisionPtr revIDLastSave="230" documentId="8_{FC651548-E053-4A69-8769-834F56B8BC7F}" xr6:coauthVersionLast="47" xr6:coauthVersionMax="47" xr10:uidLastSave="{2D375D90-C27A-4F72-9A4E-2061766F200E}"/>
  <bookViews>
    <workbookView xWindow="-110" yWindow="-110" windowWidth="19420" windowHeight="10300" tabRatio="716" firstSheet="1" activeTab="3" xr2:uid="{156EBD1D-EAF5-41D7-BDCF-B7BD509728E4}"/>
  </bookViews>
  <sheets>
    <sheet name="Dashboard" sheetId="1" r:id="rId1"/>
    <sheet name="TO DO" sheetId="8" r:id="rId2"/>
    <sheet name="Asset" sheetId="2" r:id="rId3"/>
    <sheet name="Event Planner-2025" sheetId="10" r:id="rId4"/>
    <sheet name="Expense Tracker-2025" sheetId="6" r:id="rId5"/>
    <sheet name="Vendors" sheetId="9" r:id="rId6"/>
    <sheet name="Team" sheetId="5" r:id="rId7"/>
    <sheet name="Configuration" sheetId="3" r:id="rId8"/>
  </sheets>
  <definedNames>
    <definedName name="Asset">Asset!$D$3:$D$50</definedName>
    <definedName name="AssetCategory">Configuration!$B$4:$B$50</definedName>
    <definedName name="AssetStatus">Configuration!$E$4:$E$37</definedName>
    <definedName name="Event">#REF!</definedName>
    <definedName name="Investments">Configuration!$K$4:$K$50</definedName>
    <definedName name="PaymentMode">Configuration!$T$4:$T$26</definedName>
    <definedName name="PaymentStatus">Configuration!$W$4:$W$50</definedName>
    <definedName name="Role">Configuration!$Q$4:$Q$8</definedName>
    <definedName name="ServiceProvided">Configuration!$H$4:$H$50</definedName>
    <definedName name="Status">Configuration!$N$4:$N$50</definedName>
    <definedName name="Team">Team!$B$3:$B$49</definedName>
    <definedName name="Vendor">Vendors!$F$3:$F$50</definedName>
    <definedName name="VendorCategory">Vendors!$B$3:$B$50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6" i="10" l="1"/>
  <c r="O4" i="10"/>
  <c r="O3" i="10"/>
  <c r="BB15" i="1" a="1"/>
  <c r="BB15" i="1" s="1"/>
  <c r="BC11" i="1"/>
  <c r="BC12" i="1"/>
  <c r="BC9" i="1"/>
  <c r="BC8" i="1"/>
  <c r="BC7" i="1"/>
  <c r="BC6" i="1"/>
  <c r="BC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<sst xmlns="http://schemas.openxmlformats.org/spreadsheetml/2006/main" count="412" uniqueCount="216">
  <si>
    <t>Category</t>
  </si>
  <si>
    <t>Asset Type</t>
  </si>
  <si>
    <t>Audio System</t>
  </si>
  <si>
    <t>Lightings</t>
  </si>
  <si>
    <t>Type</t>
  </si>
  <si>
    <t>Service we provide</t>
  </si>
  <si>
    <t>Wedding Planning &amp; Décor</t>
  </si>
  <si>
    <t>Engagements &amp; Receptions</t>
  </si>
  <si>
    <t>Birthday &amp; Anniversary Celebrations</t>
  </si>
  <si>
    <t>Cultural &amp; Theme Events</t>
  </si>
  <si>
    <t>Marathons, carnivals, stage plays, and non-profit initiatives</t>
  </si>
  <si>
    <t>Corporate Events &amp; Launchs</t>
  </si>
  <si>
    <t>Décor</t>
  </si>
  <si>
    <t>Name</t>
  </si>
  <si>
    <t>Brand/Specification</t>
  </si>
  <si>
    <t>PurchasedDate</t>
  </si>
  <si>
    <t>Purchased Amount</t>
  </si>
  <si>
    <t>Status</t>
  </si>
  <si>
    <t>Provided Service</t>
  </si>
  <si>
    <t>Event Name</t>
  </si>
  <si>
    <t>Event Date</t>
  </si>
  <si>
    <t>Initial Quote</t>
  </si>
  <si>
    <t>Final Quote</t>
  </si>
  <si>
    <t>Payment Made</t>
  </si>
  <si>
    <t>Requirement</t>
  </si>
  <si>
    <t>S.No</t>
  </si>
  <si>
    <t>Gilbert Augustin Raj</t>
  </si>
  <si>
    <t>Theo</t>
  </si>
  <si>
    <t>Kumudha</t>
  </si>
  <si>
    <t>Operations Head</t>
  </si>
  <si>
    <t xml:space="preserve">Theodore Samson Raj </t>
  </si>
  <si>
    <t>Creative Head</t>
  </si>
  <si>
    <t>Ebenesar Paul</t>
  </si>
  <si>
    <t>Technical Head</t>
  </si>
  <si>
    <t>Role</t>
  </si>
  <si>
    <t>Association Meeting</t>
  </si>
  <si>
    <t>Service &amp; Installation</t>
  </si>
  <si>
    <t>Ashithabaram Community Audio Setup</t>
  </si>
  <si>
    <t>Roja Reception</t>
  </si>
  <si>
    <t>25th Wedding anniversary</t>
  </si>
  <si>
    <t>Pattabiram/Avadi</t>
  </si>
  <si>
    <t>Audio for 100 ppl (aprx) Indoor</t>
  </si>
  <si>
    <t>Stage setup</t>
  </si>
  <si>
    <t>Return gift Ideas</t>
  </si>
  <si>
    <t>Source</t>
  </si>
  <si>
    <t>Ebeneser</t>
  </si>
  <si>
    <t>JDK</t>
  </si>
  <si>
    <t>Planning</t>
  </si>
  <si>
    <t xml:space="preserve">Audio system for 300 seater hall </t>
  </si>
  <si>
    <t>Wedding cake - simple one tier</t>
  </si>
  <si>
    <t xml:space="preserve">⁠Flower bouquet for bride </t>
  </si>
  <si>
    <t xml:space="preserve">Decide on the list of services we can provide </t>
  </si>
  <si>
    <t xml:space="preserve">Categorise the list </t>
  </si>
  <si>
    <t xml:space="preserve">Name the company </t>
  </si>
  <si>
    <t xml:space="preserve">Set a tagline </t>
  </si>
  <si>
    <t xml:space="preserve">Fix ownership / partnership </t>
  </si>
  <si>
    <t>Register - MSME</t>
  </si>
  <si>
    <t>GST</t>
  </si>
  <si>
    <t xml:space="preserve">Office address </t>
  </si>
  <si>
    <t xml:space="preserve">Dedicated phone number </t>
  </si>
  <si>
    <t xml:space="preserve">Collaterals </t>
  </si>
  <si>
    <t xml:space="preserve">⁠Catalogue </t>
  </si>
  <si>
    <t xml:space="preserve">Social media presence </t>
  </si>
  <si>
    <t xml:space="preserve">⁠Digital marketing </t>
  </si>
  <si>
    <t xml:space="preserve">Invest on materials </t>
  </si>
  <si>
    <t xml:space="preserve">Storage arrangements </t>
  </si>
  <si>
    <t xml:space="preserve">Reach vendors </t>
  </si>
  <si>
    <t xml:space="preserve">Build vendor database </t>
  </si>
  <si>
    <t>Create website</t>
  </si>
  <si>
    <t>In progress</t>
  </si>
  <si>
    <t>Danny</t>
  </si>
  <si>
    <t>Christopher</t>
  </si>
  <si>
    <t>Lily</t>
  </si>
  <si>
    <t>Beulah</t>
  </si>
  <si>
    <t>Jasper</t>
  </si>
  <si>
    <t>Dream Day Crew</t>
  </si>
  <si>
    <t>Kesavan St, Tondiarpet</t>
  </si>
  <si>
    <t>Partnership</t>
  </si>
  <si>
    <t>Office</t>
  </si>
  <si>
    <t>dreamdaycrew.com</t>
  </si>
  <si>
    <t>Create email</t>
  </si>
  <si>
    <t>info@dreamdaycrew.com</t>
  </si>
  <si>
    <t>Logo redesigning</t>
  </si>
  <si>
    <t>Collaterals designing</t>
  </si>
  <si>
    <t>Brochure design</t>
  </si>
  <si>
    <t xml:space="preserve">Visiting card design </t>
  </si>
  <si>
    <t>Backdrop designing</t>
  </si>
  <si>
    <t>Backdrop banner / Standee</t>
  </si>
  <si>
    <t>Visiting cards</t>
  </si>
  <si>
    <t xml:space="preserve">Brochures </t>
  </si>
  <si>
    <t>Name board (simple)</t>
  </si>
  <si>
    <t>Logo cutout</t>
  </si>
  <si>
    <t>Management Level - Gilbert</t>
  </si>
  <si>
    <t>Things to do for designing - Theo</t>
  </si>
  <si>
    <t>Things to print - Ebi</t>
  </si>
  <si>
    <t>Blocker</t>
  </si>
  <si>
    <t>Asset</t>
  </si>
  <si>
    <t>Event</t>
  </si>
  <si>
    <t>Investments</t>
  </si>
  <si>
    <t>Team</t>
  </si>
  <si>
    <t>Vendor</t>
  </si>
  <si>
    <t>Turning dreams into memories</t>
  </si>
  <si>
    <t>Executive Associate</t>
  </si>
  <si>
    <t>HR Associate</t>
  </si>
  <si>
    <t xml:space="preserve">Creative Associate </t>
  </si>
  <si>
    <t>Capital Partner</t>
  </si>
  <si>
    <t>Bank Account</t>
  </si>
  <si>
    <t>Facebook cover - Logo</t>
  </si>
  <si>
    <t>Facebook profile - Logo</t>
  </si>
  <si>
    <t>Instagram profile - Logo</t>
  </si>
  <si>
    <t>WhatsApp cover - Logo</t>
  </si>
  <si>
    <t>WhatsApp profile - Logo</t>
  </si>
  <si>
    <t>PNG for canva - Logo</t>
  </si>
  <si>
    <t>Podium branding 2*4 ft</t>
  </si>
  <si>
    <t xml:space="preserve">Welcome board 2*4 (stand) </t>
  </si>
  <si>
    <t>Professional photo corner with brand names in the background</t>
  </si>
  <si>
    <t>Nos</t>
  </si>
  <si>
    <t>Led Bargain light</t>
  </si>
  <si>
    <t>Greay Mat</t>
  </si>
  <si>
    <t>6x4</t>
  </si>
  <si>
    <t>A Stand wooden</t>
  </si>
  <si>
    <t>Wire</t>
  </si>
  <si>
    <t>20 mtrs</t>
  </si>
  <si>
    <t>Available</t>
  </si>
  <si>
    <t>Venue</t>
  </si>
  <si>
    <t>DDC Cost</t>
  </si>
  <si>
    <t>Profit/Loss</t>
  </si>
  <si>
    <t>Registered  on</t>
  </si>
  <si>
    <t>Rcvd Amount</t>
  </si>
  <si>
    <t>Jan/Feb 2026</t>
  </si>
  <si>
    <t>Devotional events</t>
  </si>
  <si>
    <t>Youth Worship Evening</t>
  </si>
  <si>
    <t>Review</t>
  </si>
  <si>
    <t>Yet to do</t>
  </si>
  <si>
    <t>Completed</t>
  </si>
  <si>
    <t>Req Status</t>
  </si>
  <si>
    <t>To do</t>
  </si>
  <si>
    <t>Ready</t>
  </si>
  <si>
    <t>Review Details</t>
  </si>
  <si>
    <r>
      <rPr>
        <b/>
        <u/>
        <sz val="11"/>
        <color theme="1"/>
        <rFont val="Aptos Narrow"/>
        <family val="2"/>
        <scheme val="minor"/>
      </rPr>
      <t>Highlights</t>
    </r>
    <r>
      <rPr>
        <sz val="11"/>
        <color theme="1"/>
        <rFont val="Aptos Narrow"/>
        <family val="2"/>
        <scheme val="minor"/>
      </rPr>
      <t xml:space="preserve">:
• No negative feedback received.
• Work completed fully as per requirements.
• Spent additional time guiding the client on how to operate the system.
</t>
    </r>
    <r>
      <rPr>
        <b/>
        <u/>
        <sz val="11"/>
        <color theme="1"/>
        <rFont val="Aptos Narrow"/>
        <family val="2"/>
        <scheme val="minor"/>
      </rPr>
      <t>Concerns &amp; Suggestions:</t>
    </r>
    <r>
      <rPr>
        <sz val="11"/>
        <color theme="1"/>
        <rFont val="Aptos Narrow"/>
        <family val="2"/>
        <scheme val="minor"/>
      </rPr>
      <t xml:space="preserve">
• Can we continue offering this as a service?
• Ebi: Yes. completed as sound engineering.
• Theo: Should be added to brochures to strengthen our service portfolio.
• Gilbert: Can be continued without adding to brochures.</t>
    </r>
  </si>
  <si>
    <r>
      <rPr>
        <b/>
        <u/>
        <sz val="11"/>
        <color theme="1"/>
        <rFont val="Aptos Narrow"/>
        <family val="2"/>
        <scheme val="minor"/>
      </rPr>
      <t>Highlights</t>
    </r>
    <r>
      <rPr>
        <sz val="11"/>
        <color theme="1"/>
        <rFont val="Aptos Narrow"/>
        <family val="2"/>
        <scheme val="minor"/>
      </rPr>
      <t xml:space="preserve">:
• Bouquet model matched customer expectations.
• Cake and cake topper did not meet expectations.
• Wishboard: issues with both frame and foam board.
• Audio preparation was handled well by Danny — setup completed in 10 minutes, sufficient for the hall.
</t>
    </r>
    <r>
      <rPr>
        <b/>
        <u/>
        <sz val="11"/>
        <color theme="1"/>
        <rFont val="Aptos Narrow"/>
        <family val="2"/>
        <scheme val="minor"/>
      </rPr>
      <t>Concerns &amp; Improvements:</t>
    </r>
    <r>
      <rPr>
        <sz val="11"/>
        <color theme="1"/>
        <rFont val="Aptos Narrow"/>
        <family val="2"/>
        <scheme val="minor"/>
      </rPr>
      <t xml:space="preserve">
• </t>
    </r>
    <r>
      <rPr>
        <b/>
        <sz val="11"/>
        <color theme="1"/>
        <rFont val="Aptos Narrow"/>
        <family val="2"/>
        <scheme val="minor"/>
      </rPr>
      <t>Time management</t>
    </r>
    <r>
      <rPr>
        <sz val="11"/>
        <color theme="1"/>
        <rFont val="Aptos Narrow"/>
        <family val="2"/>
        <scheme val="minor"/>
      </rPr>
      <t>: audio and related setups should be completed at least 10–30 minutes before the event.
• Avoid scheduling main tasks during event time.
• Ensure at least one dedicated audio technician is available who knows the system thoroughly.
• If we are not available, a well-known technician or trusted associate should be arranged in advance.
• Reach customer with clear cost (catalog)</t>
    </r>
  </si>
  <si>
    <r>
      <rPr>
        <b/>
        <u/>
        <sz val="11"/>
        <color theme="1"/>
        <rFont val="Aptos Narrow"/>
        <family val="2"/>
        <scheme val="minor"/>
      </rPr>
      <t>Highlights</t>
    </r>
    <r>
      <rPr>
        <sz val="11"/>
        <color theme="1"/>
        <rFont val="Aptos Narrow"/>
        <family val="2"/>
        <scheme val="minor"/>
      </rPr>
      <t xml:space="preserve">:
• Quoted: ₹10,000 | Finalized at: ₹7,500.
• Our satisfaction: ~80%.
• Minor spelling mistake occurred (but unnoticed by customer).
• Initial resource constraints led to delays in purchasing items, output delivered in 1 day.
</t>
    </r>
    <r>
      <rPr>
        <b/>
        <u/>
        <sz val="11"/>
        <color theme="1"/>
        <rFont val="Aptos Narrow"/>
        <family val="2"/>
        <scheme val="minor"/>
      </rPr>
      <t>Concerns &amp; Improvements:</t>
    </r>
    <r>
      <rPr>
        <sz val="11"/>
        <color theme="1"/>
        <rFont val="Aptos Narrow"/>
        <family val="2"/>
        <scheme val="minor"/>
      </rPr>
      <t xml:space="preserve">
• A clear </t>
    </r>
    <r>
      <rPr>
        <b/>
        <sz val="11"/>
        <rFont val="Aptos Narrow"/>
        <family val="2"/>
        <scheme val="minor"/>
      </rPr>
      <t>Point of Contact</t>
    </r>
    <r>
      <rPr>
        <sz val="11"/>
        <color theme="1"/>
        <rFont val="Aptos Narrow"/>
        <family val="2"/>
        <scheme val="minor"/>
      </rPr>
      <t xml:space="preserve"> (POC) should be assigned for every project.
• Need to define </t>
    </r>
    <r>
      <rPr>
        <b/>
        <sz val="11"/>
        <rFont val="Aptos Narrow"/>
        <family val="2"/>
        <scheme val="minor"/>
      </rPr>
      <t>strict limits</t>
    </r>
    <r>
      <rPr>
        <sz val="11"/>
        <rFont val="Aptos Narrow"/>
        <family val="2"/>
        <scheme val="minor"/>
      </rPr>
      <t xml:space="preserve"> </t>
    </r>
    <r>
      <rPr>
        <sz val="11"/>
        <color theme="1"/>
        <rFont val="Aptos Narrow"/>
        <family val="2"/>
        <scheme val="minor"/>
      </rPr>
      <t>(time, budget, and quote). If requirements fall below our threshold, we should learn to say NO.
• A </t>
    </r>
    <r>
      <rPr>
        <b/>
        <sz val="11"/>
        <rFont val="Aptos Narrow"/>
        <family val="2"/>
        <scheme val="minor"/>
      </rPr>
      <t>proofreader</t>
    </r>
    <r>
      <rPr>
        <sz val="11"/>
        <rFont val="Aptos Narrow"/>
        <family val="2"/>
        <scheme val="minor"/>
      </rPr>
      <t xml:space="preserve"> must be </t>
    </r>
    <r>
      <rPr>
        <b/>
        <sz val="11"/>
        <rFont val="Aptos Narrow"/>
        <family val="2"/>
        <scheme val="minor"/>
      </rPr>
      <t>mandatory</t>
    </r>
    <r>
      <rPr>
        <sz val="11"/>
        <color theme="1"/>
        <rFont val="Aptos Narrow"/>
        <family val="2"/>
        <scheme val="minor"/>
      </rPr>
      <t xml:space="preserve"> before printing.
• Clarify and define Danny’s role.
• Avoid late-night or last-minute work whenever possible.</t>
    </r>
  </si>
  <si>
    <t>Phase 1 - Initiation &amp; Kick-off</t>
  </si>
  <si>
    <t>Phase 2 - Budgeting &amp; Finalization</t>
  </si>
  <si>
    <t xml:space="preserve">Phase 3 - Planning &amp; Execution </t>
  </si>
  <si>
    <t>Phase 4 - Review &amp; Continuous Improvement</t>
  </si>
  <si>
    <t>Ambatur</t>
  </si>
  <si>
    <t>Tenampet</t>
  </si>
  <si>
    <t>Perambur</t>
  </si>
  <si>
    <t>Client Info</t>
  </si>
  <si>
    <t>Name: 
Contact:</t>
  </si>
  <si>
    <t>Yet to start</t>
  </si>
  <si>
    <t>Purchase and Audio setup</t>
  </si>
  <si>
    <t>VendorCategory</t>
  </si>
  <si>
    <t>Cake</t>
  </si>
  <si>
    <t>Food &amp; beverages</t>
  </si>
  <si>
    <t>Decoration</t>
  </si>
  <si>
    <t>Music</t>
  </si>
  <si>
    <t>specialization</t>
  </si>
  <si>
    <t>Location</t>
  </si>
  <si>
    <t>CK Bakery</t>
  </si>
  <si>
    <t>Contact</t>
  </si>
  <si>
    <t>Rating</t>
  </si>
  <si>
    <t>Amount</t>
  </si>
  <si>
    <t>Description</t>
  </si>
  <si>
    <t>Date</t>
  </si>
  <si>
    <t>Expense</t>
  </si>
  <si>
    <t>Electrician</t>
  </si>
  <si>
    <t>Electrician kooli</t>
  </si>
  <si>
    <t>Painting</t>
  </si>
  <si>
    <t>Food</t>
  </si>
  <si>
    <t>Chair rent</t>
  </si>
  <si>
    <t>Audio system</t>
  </si>
  <si>
    <t>Income</t>
  </si>
  <si>
    <t>Sub Category</t>
  </si>
  <si>
    <t>Speaker</t>
  </si>
  <si>
    <t>QSE Speaker</t>
  </si>
  <si>
    <t>Under Maintenance</t>
  </si>
  <si>
    <t>Need to Purchase</t>
  </si>
  <si>
    <t>Total Assets</t>
  </si>
  <si>
    <t>Working</t>
  </si>
  <si>
    <t>Total No. of Events Served</t>
  </si>
  <si>
    <t>Upcoming Events</t>
  </si>
  <si>
    <t>Expense &amp; Income Tracker</t>
  </si>
  <si>
    <t>Req Owner</t>
  </si>
  <si>
    <t>Plan Status</t>
  </si>
  <si>
    <t>Todo</t>
  </si>
  <si>
    <t>Support</t>
  </si>
  <si>
    <t>Idea</t>
  </si>
  <si>
    <t>Logistics</t>
  </si>
  <si>
    <t>Production</t>
  </si>
  <si>
    <t>Design</t>
  </si>
  <si>
    <t>Plan</t>
  </si>
  <si>
    <t>Plan Execution</t>
  </si>
  <si>
    <t>Asset Purchase Status</t>
  </si>
  <si>
    <t>Existing</t>
  </si>
  <si>
    <t>New</t>
  </si>
  <si>
    <t>Account</t>
  </si>
  <si>
    <t>Gpay</t>
  </si>
  <si>
    <t>Payment Status</t>
  </si>
  <si>
    <t>Pending</t>
  </si>
  <si>
    <t>Paid</t>
  </si>
  <si>
    <t>Partial</t>
  </si>
  <si>
    <t>Payment Mode</t>
  </si>
  <si>
    <r>
      <rPr>
        <b/>
        <sz val="11"/>
        <color theme="1"/>
        <rFont val="Aptos Narrow"/>
        <family val="2"/>
        <scheme val="minor"/>
      </rPr>
      <t>Name</t>
    </r>
    <r>
      <rPr>
        <sz val="11"/>
        <color theme="1"/>
        <rFont val="Aptos Narrow"/>
        <family val="2"/>
        <scheme val="minor"/>
      </rPr>
      <t xml:space="preserve">: Balasubramani A
</t>
    </r>
    <r>
      <rPr>
        <b/>
        <sz val="11"/>
        <color theme="1"/>
        <rFont val="Aptos Narrow"/>
        <family val="2"/>
        <scheme val="minor"/>
      </rPr>
      <t>Contact</t>
    </r>
    <r>
      <rPr>
        <sz val="11"/>
        <color theme="1"/>
        <rFont val="Aptos Narrow"/>
        <family val="2"/>
        <scheme val="minor"/>
      </rPr>
      <t xml:space="preserve">: 9840084810
</t>
    </r>
    <r>
      <rPr>
        <b/>
        <sz val="11"/>
        <color theme="1"/>
        <rFont val="Aptos Narrow"/>
        <family val="2"/>
        <scheme val="minor"/>
      </rPr>
      <t>Address</t>
    </r>
    <r>
      <rPr>
        <sz val="11"/>
        <color theme="1"/>
        <rFont val="Aptos Narrow"/>
        <family val="2"/>
        <scheme val="minor"/>
      </rPr>
      <t xml:space="preserve"> : No79, 2nd Floor, Annai Mariyammal Complex
Balakumaran Nagar, Kolathur, Chennai - 99
</t>
    </r>
    <r>
      <rPr>
        <b/>
        <sz val="11"/>
        <color theme="1"/>
        <rFont val="Aptos Narrow"/>
        <family val="2"/>
        <scheme val="minor"/>
      </rPr>
      <t xml:space="preserve">Email </t>
    </r>
    <r>
      <rPr>
        <sz val="11"/>
        <color theme="1"/>
        <rFont val="Aptos Narrow"/>
        <family val="2"/>
        <scheme val="minor"/>
      </rPr>
      <t>: cmdadtcpewa@gmail.com</t>
    </r>
  </si>
  <si>
    <r>
      <rPr>
        <b/>
        <sz val="11"/>
        <color theme="1"/>
        <rFont val="Aptos Narrow"/>
        <family val="2"/>
        <scheme val="minor"/>
      </rPr>
      <t>Name</t>
    </r>
    <r>
      <rPr>
        <sz val="11"/>
        <color theme="1"/>
        <rFont val="Aptos Narrow"/>
        <family val="2"/>
        <scheme val="minor"/>
      </rPr>
      <t xml:space="preserve">: Daniel
</t>
    </r>
    <r>
      <rPr>
        <b/>
        <sz val="11"/>
        <color theme="1"/>
        <rFont val="Aptos Narrow"/>
        <family val="2"/>
        <scheme val="minor"/>
      </rPr>
      <t>Contact</t>
    </r>
    <r>
      <rPr>
        <sz val="11"/>
        <color theme="1"/>
        <rFont val="Aptos Narrow"/>
        <family val="2"/>
        <scheme val="minor"/>
      </rPr>
      <t>: 9962662118</t>
    </r>
  </si>
  <si>
    <t>Photo Spot Standy</t>
  </si>
  <si>
    <t>3X6</t>
  </si>
  <si>
    <t>Cost Breakdown</t>
  </si>
  <si>
    <t>Led lights</t>
  </si>
  <si>
    <t>Production/ Printing/ Transportation/ Purchase/</t>
  </si>
  <si>
    <t>DMX Light</t>
  </si>
  <si>
    <t>Lights</t>
  </si>
  <si>
    <t xml:space="preserve">Creative wishes from audience </t>
  </si>
  <si>
    <t>Bouquet</t>
  </si>
  <si>
    <t>Flower bouquet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</si>
</sst>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36"/>
      <color rgb="FFD4AF37"/>
      <name val="Algerian"/>
      <family val="5"/>
    </font>
    <font>
      <b/>
      <sz val="11"/>
      <color rgb="FFD4AF37"/>
      <name val="Aptos Narrow"/>
      <family val="2"/>
      <scheme val="minor"/>
    </font>
    <font>
      <b/>
      <sz val="11"/>
      <color rgb="FFD4AF37"/>
      <name val="Aptos Display"/>
      <family val="2"/>
      <scheme val="major"/>
    </font>
    <font>
      <sz val="22"/>
      <color rgb="FFD4AF37"/>
      <name val="Algerian"/>
      <family val="5"/>
    </font>
  </fonts>
  <fills count="8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6D0D0D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9">
    <xf numFmtId="0" fontId="0" fillId="0" borderId="0" xfId="0"/>
    <xf numFmtId="0" fontId="0" fillId="0" borderId="1" xfId="0" applyBorder="1"/>
    <xf numFmtId="0" fontId="0" fillId="0" borderId="1" xfId="0" applyBorder="1" applyAlignment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wrapText="1"/>
    </xf>
    <xf numFmtId="15" fontId="0" fillId="0" borderId="1" xfId="0" applyNumberFormat="1" applyBorder="1"/>
    <xf numFmtId="0" fontId="0" fillId="0" borderId="1" xfId="0" applyBorder="1" applyAlignment="1">
      <alignment horizontal="right"/>
    </xf>
    <xf numFmtId="0" fontId="0" fillId="0" borderId="1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1" xfId="1" applyBorder="1"/>
    <xf numFmtId="0" fontId="0" fillId="0" borderId="1" xfId="0" applyBorder="1" applyAlignment="1">
      <alignment horizontal="right" vertical="center"/>
    </xf>
    <xf numFmtId="15" fontId="0" fillId="0" borderId="1" xfId="0" applyNumberFormat="1" applyBorder="1" applyAlignment="1">
      <alignment vertical="center"/>
    </xf>
    <xf numFmtId="2" fontId="0" fillId="0" borderId="1" xfId="0" applyNumberFormat="1" applyBorder="1"/>
    <xf numFmtId="0" fontId="0" fillId="0" borderId="1" xfId="0" applyBorder="1" applyAlignment="1">
      <alignment horizontal="center"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0" borderId="1" xfId="0" applyBorder="1" applyAlignment="1">
      <alignment vertical="center" wrapText="1"/>
    </xf>
    <xf numFmtId="2" fontId="0" fillId="0" borderId="1" xfId="0" applyNumberFormat="1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horizontal="left" vertical="center"/>
    </xf>
    <xf numFmtId="0" fontId="0" fillId="5" borderId="1" xfId="0" applyFill="1" applyBorder="1" applyAlignment="1">
      <alignment vertical="center"/>
    </xf>
    <xf numFmtId="0" fontId="0" fillId="5" borderId="1" xfId="0" applyFill="1" applyBorder="1" applyAlignment="1">
      <alignment wrapText="1"/>
    </xf>
    <xf numFmtId="0" fontId="0" fillId="5" borderId="1" xfId="0" applyFill="1" applyBorder="1"/>
    <xf numFmtId="0" fontId="0" fillId="2" borderId="1" xfId="0" applyFill="1" applyBorder="1" applyAlignment="1">
      <alignment vertical="center" wrapText="1"/>
    </xf>
    <xf numFmtId="0" fontId="0" fillId="0" borderId="0" xfId="0" applyProtection="1">
      <protection hidden="1"/>
    </xf>
    <xf numFmtId="0" fontId="7" fillId="7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left" vertical="top" wrapText="1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6" fillId="7" borderId="0" xfId="0" applyFont="1" applyFill="1" applyAlignment="1">
      <alignment horizontal="center"/>
    </xf>
    <xf numFmtId="0" fontId="8" fillId="7" borderId="1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" xfId="0" applyFill="1" applyBorder="1" applyAlignment="1">
      <alignment horizontal="center" wrapText="1"/>
    </xf>
    <xf numFmtId="0" fontId="0" fillId="2" borderId="4" xfId="0" applyFill="1" applyBorder="1" applyAlignment="1">
      <alignment horizontal="center" wrapText="1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15" fontId="0" fillId="0" borderId="3" xfId="0" applyNumberFormat="1" applyBorder="1" applyAlignment="1">
      <alignment horizontal="center" vertical="center"/>
    </xf>
    <xf numFmtId="15" fontId="0" fillId="0" borderId="2" xfId="0" applyNumberFormat="1" applyBorder="1" applyAlignment="1">
      <alignment horizontal="center" vertical="center"/>
    </xf>
    <xf numFmtId="15" fontId="0" fillId="0" borderId="4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0" fillId="5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3" xfId="0" applyFill="1" applyBorder="1" applyAlignment="1">
      <alignment horizontal="left" vertical="top" wrapText="1"/>
    </xf>
    <xf numFmtId="0" fontId="0" fillId="5" borderId="2" xfId="0" applyFill="1" applyBorder="1" applyAlignment="1">
      <alignment horizontal="left" vertical="top" wrapText="1"/>
    </xf>
    <xf numFmtId="0" fontId="0" fillId="5" borderId="4" xfId="0" applyFill="1" applyBorder="1" applyAlignment="1">
      <alignment horizontal="left" vertical="top" wrapText="1"/>
    </xf>
    <xf numFmtId="0" fontId="0" fillId="2" borderId="2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15" fontId="0" fillId="0" borderId="3" xfId="0" applyNumberFormat="1" applyBorder="1" applyAlignment="1">
      <alignment horizontal="left" vertical="center"/>
    </xf>
    <xf numFmtId="15" fontId="0" fillId="0" borderId="2" xfId="0" applyNumberFormat="1" applyBorder="1" applyAlignment="1">
      <alignment horizontal="left" vertical="center"/>
    </xf>
    <xf numFmtId="15" fontId="0" fillId="0" borderId="4" xfId="0" applyNumberFormat="1" applyBorder="1" applyAlignment="1">
      <alignment horizontal="left" vertical="center"/>
    </xf>
    <xf numFmtId="0" fontId="0" fillId="0" borderId="3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3" xfId="0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0" fillId="0" borderId="3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15" fontId="0" fillId="0" borderId="3" xfId="0" applyNumberFormat="1" applyBorder="1" applyAlignment="1">
      <alignment horizontal="right" vertical="center"/>
    </xf>
    <xf numFmtId="15" fontId="0" fillId="0" borderId="2" xfId="0" applyNumberFormat="1" applyBorder="1" applyAlignment="1">
      <alignment horizontal="right" vertical="center"/>
    </xf>
    <xf numFmtId="15" fontId="0" fillId="0" borderId="4" xfId="0" applyNumberFormat="1" applyBorder="1" applyAlignment="1">
      <alignment horizontal="righ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2" fontId="0" fillId="0" borderId="3" xfId="0" applyNumberFormat="1" applyBorder="1" applyAlignment="1">
      <alignment horizontal="right" vertical="center"/>
    </xf>
    <xf numFmtId="2" fontId="0" fillId="0" borderId="2" xfId="0" applyNumberFormat="1" applyBorder="1" applyAlignment="1">
      <alignment horizontal="right" vertical="center"/>
    </xf>
    <xf numFmtId="2" fontId="0" fillId="0" borderId="4" xfId="0" applyNumberFormat="1" applyBorder="1" applyAlignment="1">
      <alignment horizontal="right" vertical="center"/>
    </xf>
    <xf numFmtId="0" fontId="4" fillId="6" borderId="5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4AF37"/>
      <color rgb="FF6D0D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0/relationships/richValueRel" Target="richData/richValueRel.xml"/><Relationship Id="rId1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20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styles" Target="styles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" Target="richData/rdrichvalu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Asset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0FF-4D90-8EE3-89E2E1C6758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0FF-4D90-8EE3-89E2E1C6758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0FF-4D90-8EE3-89E2E1C6758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0FF-4D90-8EE3-89E2E1C6758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Dashboard!$BB$6:$BB$9</c:f>
              <c:strCache>
                <c:ptCount val="4"/>
                <c:pt idx="0">
                  <c:v>Total Assets</c:v>
                </c:pt>
                <c:pt idx="1">
                  <c:v>Available</c:v>
                </c:pt>
                <c:pt idx="2">
                  <c:v>Under Maintenance</c:v>
                </c:pt>
                <c:pt idx="3">
                  <c:v>Need to Purchase</c:v>
                </c:pt>
              </c:strCache>
            </c:strRef>
          </c:cat>
          <c:val>
            <c:numRef>
              <c:f>Dashboard!$BC$6:$BC$9</c:f>
              <c:numCache>
                <c:formatCode>General</c:formatCode>
                <c:ptCount val="4"/>
                <c:pt idx="0">
                  <c:v>8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C6-412A-81B7-1723C29AD4BD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149225</xdr:colOff>
      <xdr:row>5</xdr:row>
      <xdr:rowOff>82550</xdr:rowOff>
    </xdr:from>
    <xdr:to>
      <xdr:col>2</xdr:col>
      <xdr:colOff>1181100</xdr:colOff>
      <xdr:row>15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D908A28-4B05-9E90-2E62-DDC367ED27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info@dreamdaycrew.com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0934D-8465-4943-B5F3-D33BDB0DCB74}">
  <sheetPr codeName="Sheet1">
    <tabColor theme="8" tint="-0.249977111117893"/>
  </sheetPr>
  <dimension ref="B3:BE15"/>
  <sheetViews>
    <sheetView showGridLines="0" topLeftCell="A2" workbookViewId="0">
      <selection activeCell="E9" sqref="E9"/>
    </sheetView>
  </sheetViews>
  <sheetFormatPr defaultRowHeight="14.5" x14ac:dyDescent="0.35"/>
  <cols>
    <col min="2" max="2" width="25.7265625" customWidth="1"/>
    <col min="3" max="3" width="24.36328125" customWidth="1"/>
    <col min="5" max="5" width="17.1796875" customWidth="1"/>
    <col min="6" max="6" width="18.453125" customWidth="1"/>
    <col min="54" max="54" width="33.453125" customWidth="1"/>
  </cols>
  <sheetData>
    <row r="3" spans="2:57" ht="51.5" x14ac:dyDescent="1.2">
      <c r="B3" t="e" vm="1">
        <v>#VALUE!</v>
      </c>
      <c r="C3" s="35" t="s">
        <v>75</v>
      </c>
      <c r="D3" s="35"/>
      <c r="E3" s="35"/>
      <c r="F3" s="35"/>
    </row>
    <row r="6" spans="2:57" x14ac:dyDescent="0.35">
      <c r="BB6" s="24" t="s">
        <v>179</v>
      </c>
      <c r="BC6" s="24">
        <f>COUNTA(Asset!D3:D100)</f>
        <v>8</v>
      </c>
    </row>
    <row r="7" spans="2:57" x14ac:dyDescent="0.35">
      <c r="E7" s="24"/>
      <c r="BB7" s="24" t="s">
        <v>123</v>
      </c>
      <c r="BC7" s="24">
        <f>COUNTIF(Asset!I3:I100, "Available")</f>
        <v>6</v>
      </c>
    </row>
    <row r="8" spans="2:57" x14ac:dyDescent="0.35">
      <c r="E8" s="24"/>
      <c r="BB8" s="24" t="s">
        <v>177</v>
      </c>
      <c r="BC8" s="24">
        <f>COUNTIF(Asset!I3:I100, "Under Manintenance")</f>
        <v>0</v>
      </c>
    </row>
    <row r="9" spans="2:57" x14ac:dyDescent="0.35">
      <c r="E9" s="24"/>
      <c r="BB9" s="24" t="s">
        <v>178</v>
      </c>
      <c r="BC9" s="24">
        <f>COUNTIF(Asset!I3:I100, "Need to Purchase")</f>
        <v>0</v>
      </c>
    </row>
    <row r="10" spans="2:57" x14ac:dyDescent="0.35">
      <c r="E10" s="24"/>
    </row>
    <row r="11" spans="2:57" x14ac:dyDescent="0.35">
      <c r="BB11" t="s">
        <v>181</v>
      </c>
      <c r="BC11">
        <f>COUNTA(#REF!)</f>
        <v>1</v>
      </c>
    </row>
    <row r="12" spans="2:57" x14ac:dyDescent="0.35">
      <c r="BB12" t="s">
        <v>182</v>
      </c>
      <c r="BC12" t="e">
        <f>COUNTIF(#REF!, "&lt;&gt; Completed")</f>
        <v>#REF!</v>
      </c>
    </row>
    <row r="14" spans="2:57" x14ac:dyDescent="0.35">
      <c r="BB14" t="s">
        <v>97</v>
      </c>
      <c r="BC14" t="s">
        <v>136</v>
      </c>
      <c r="BD14" t="s">
        <v>180</v>
      </c>
      <c r="BE14" t="s">
        <v>137</v>
      </c>
    </row>
    <row r="15" spans="2:57" x14ac:dyDescent="0.35">
      <c r="BB15" t="e" cm="1">
        <f t="array" ref="BB15">_xlfn.UNIQUE(#REF!)</f>
        <v>#REF!</v>
      </c>
      <c r="BC15">
        <f ca="1">COUNTIFS(C$3:C$50, $BC15, T$3:T$50, "To do")</f>
        <v>0</v>
      </c>
    </row>
  </sheetData>
  <mergeCells count="1">
    <mergeCell ref="C3:F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EC4F6-0052-4318-BD6F-FFABCB319F02}">
  <sheetPr codeName="Sheet2">
    <tabColor theme="4" tint="-0.499984740745262"/>
  </sheetPr>
  <dimension ref="B2:L22"/>
  <sheetViews>
    <sheetView showGridLines="0" workbookViewId="0">
      <selection activeCell="K3" sqref="K3"/>
    </sheetView>
  </sheetViews>
  <sheetFormatPr defaultRowHeight="14.5" x14ac:dyDescent="0.35"/>
  <cols>
    <col min="1" max="1" width="3.7265625" customWidth="1"/>
    <col min="2" max="2" width="3.08984375" customWidth="1"/>
    <col min="3" max="3" width="38.81640625" customWidth="1"/>
    <col min="4" max="4" width="25.1796875" customWidth="1"/>
    <col min="5" max="5" width="4.1796875" customWidth="1"/>
    <col min="6" max="6" width="3.08984375" customWidth="1"/>
    <col min="7" max="7" width="19.453125" customWidth="1"/>
    <col min="8" max="8" width="10" customWidth="1"/>
    <col min="9" max="9" width="4.1796875" customWidth="1"/>
    <col min="10" max="10" width="3.6328125" customWidth="1"/>
    <col min="11" max="11" width="22.36328125" customWidth="1"/>
  </cols>
  <sheetData>
    <row r="2" spans="2:12" x14ac:dyDescent="0.35">
      <c r="B2" s="36" t="s">
        <v>92</v>
      </c>
      <c r="C2" s="36"/>
      <c r="D2" s="36"/>
      <c r="F2" s="36" t="s">
        <v>93</v>
      </c>
      <c r="G2" s="36"/>
      <c r="H2" s="36"/>
      <c r="J2" s="36" t="s">
        <v>94</v>
      </c>
      <c r="K2" s="36"/>
      <c r="L2" s="36"/>
    </row>
    <row r="3" spans="2:12" x14ac:dyDescent="0.35">
      <c r="B3" s="8" t="b">
        <v>1</v>
      </c>
      <c r="C3" s="1" t="s">
        <v>51</v>
      </c>
      <c r="D3" s="1"/>
      <c r="F3" s="8" t="b">
        <v>0</v>
      </c>
      <c r="G3" s="5" t="s">
        <v>82</v>
      </c>
      <c r="H3" s="1"/>
      <c r="J3" s="8" t="b">
        <v>0</v>
      </c>
      <c r="K3" s="1" t="s">
        <v>87</v>
      </c>
      <c r="L3" s="1"/>
    </row>
    <row r="4" spans="2:12" x14ac:dyDescent="0.35">
      <c r="B4" s="8" t="b">
        <v>0</v>
      </c>
      <c r="C4" s="1" t="s">
        <v>52</v>
      </c>
      <c r="D4" s="1"/>
      <c r="F4" s="8" t="b">
        <v>0</v>
      </c>
      <c r="G4" s="1" t="s">
        <v>83</v>
      </c>
      <c r="H4" s="1"/>
      <c r="J4" s="8" t="b">
        <v>0</v>
      </c>
      <c r="K4" s="1" t="s">
        <v>88</v>
      </c>
      <c r="L4" s="1" t="s">
        <v>95</v>
      </c>
    </row>
    <row r="5" spans="2:12" x14ac:dyDescent="0.35">
      <c r="B5" s="8" t="b">
        <v>1</v>
      </c>
      <c r="C5" s="1" t="s">
        <v>53</v>
      </c>
      <c r="D5" s="1" t="s">
        <v>75</v>
      </c>
      <c r="F5" s="8" t="b">
        <v>0</v>
      </c>
      <c r="G5" s="1" t="s">
        <v>84</v>
      </c>
      <c r="H5" s="1" t="s">
        <v>69</v>
      </c>
      <c r="J5" s="8" t="b">
        <v>0</v>
      </c>
      <c r="K5" s="1" t="s">
        <v>89</v>
      </c>
      <c r="L5" s="1" t="s">
        <v>95</v>
      </c>
    </row>
    <row r="6" spans="2:12" x14ac:dyDescent="0.35">
      <c r="B6" s="8" t="b">
        <v>1</v>
      </c>
      <c r="C6" s="1" t="s">
        <v>54</v>
      </c>
      <c r="D6" s="1" t="s">
        <v>101</v>
      </c>
      <c r="F6" s="8" t="b">
        <v>0</v>
      </c>
      <c r="G6" s="1" t="s">
        <v>85</v>
      </c>
      <c r="H6" s="1" t="s">
        <v>69</v>
      </c>
      <c r="J6" s="8" t="b">
        <v>0</v>
      </c>
      <c r="K6" s="1" t="s">
        <v>91</v>
      </c>
      <c r="L6" s="1" t="s">
        <v>95</v>
      </c>
    </row>
    <row r="7" spans="2:12" x14ac:dyDescent="0.35">
      <c r="B7" s="8" t="b">
        <v>1</v>
      </c>
      <c r="C7" s="1" t="s">
        <v>55</v>
      </c>
      <c r="D7" s="1" t="s">
        <v>77</v>
      </c>
      <c r="F7" s="8" t="b">
        <v>0</v>
      </c>
      <c r="G7" s="1" t="s">
        <v>86</v>
      </c>
      <c r="H7" s="1"/>
      <c r="J7" s="8" t="b">
        <v>0</v>
      </c>
      <c r="K7" s="1" t="s">
        <v>90</v>
      </c>
      <c r="L7" s="1"/>
    </row>
    <row r="8" spans="2:12" ht="15" customHeight="1" x14ac:dyDescent="0.35">
      <c r="B8" s="8" t="b">
        <v>0</v>
      </c>
      <c r="C8" s="1" t="s">
        <v>56</v>
      </c>
      <c r="D8" s="1"/>
      <c r="F8" s="8" t="b">
        <v>0</v>
      </c>
      <c r="G8" s="5" t="s">
        <v>107</v>
      </c>
      <c r="H8" s="1"/>
    </row>
    <row r="9" spans="2:12" x14ac:dyDescent="0.35">
      <c r="B9" s="8" t="b">
        <v>0</v>
      </c>
      <c r="C9" s="1" t="s">
        <v>57</v>
      </c>
      <c r="D9" s="1"/>
      <c r="F9" s="8" t="b">
        <v>0</v>
      </c>
      <c r="G9" s="1" t="s">
        <v>108</v>
      </c>
      <c r="H9" s="1"/>
    </row>
    <row r="10" spans="2:12" x14ac:dyDescent="0.35">
      <c r="B10" s="8" t="b">
        <v>0</v>
      </c>
      <c r="C10" s="1" t="s">
        <v>106</v>
      </c>
      <c r="D10" s="1"/>
      <c r="F10" s="8" t="b">
        <v>0</v>
      </c>
      <c r="G10" s="1" t="s">
        <v>109</v>
      </c>
      <c r="H10" s="1"/>
    </row>
    <row r="11" spans="2:12" x14ac:dyDescent="0.35">
      <c r="B11" s="8" t="b">
        <v>1</v>
      </c>
      <c r="C11" s="1" t="s">
        <v>58</v>
      </c>
      <c r="D11" s="1" t="s">
        <v>76</v>
      </c>
      <c r="F11" s="8" t="b">
        <v>0</v>
      </c>
      <c r="G11" s="1" t="s">
        <v>110</v>
      </c>
      <c r="H11" s="1"/>
    </row>
    <row r="12" spans="2:12" x14ac:dyDescent="0.35">
      <c r="B12" s="8" t="b">
        <v>1</v>
      </c>
      <c r="C12" s="1" t="s">
        <v>59</v>
      </c>
      <c r="D12" s="1">
        <v>7338777837</v>
      </c>
      <c r="F12" s="8" t="b">
        <v>0</v>
      </c>
      <c r="G12" s="1" t="s">
        <v>111</v>
      </c>
      <c r="H12" s="1"/>
    </row>
    <row r="13" spans="2:12" x14ac:dyDescent="0.35">
      <c r="B13" s="8" t="b">
        <v>0</v>
      </c>
      <c r="C13" s="1" t="s">
        <v>60</v>
      </c>
      <c r="D13" s="1"/>
      <c r="F13" s="8" t="b">
        <v>0</v>
      </c>
      <c r="G13" s="1" t="s">
        <v>112</v>
      </c>
      <c r="H13" s="1"/>
    </row>
    <row r="14" spans="2:12" x14ac:dyDescent="0.35">
      <c r="B14" s="8" t="b">
        <v>0</v>
      </c>
      <c r="C14" s="1" t="s">
        <v>61</v>
      </c>
      <c r="D14" s="1"/>
    </row>
    <row r="15" spans="2:12" x14ac:dyDescent="0.35">
      <c r="B15" s="8" t="b">
        <v>0</v>
      </c>
      <c r="C15" s="1" t="s">
        <v>62</v>
      </c>
      <c r="D15" s="1" t="s">
        <v>69</v>
      </c>
    </row>
    <row r="16" spans="2:12" x14ac:dyDescent="0.35">
      <c r="B16" s="8" t="b">
        <v>0</v>
      </c>
      <c r="C16" s="1" t="s">
        <v>63</v>
      </c>
      <c r="D16" s="1"/>
    </row>
    <row r="17" spans="2:4" x14ac:dyDescent="0.35">
      <c r="B17" s="8" t="b">
        <v>1</v>
      </c>
      <c r="C17" s="1" t="s">
        <v>64</v>
      </c>
      <c r="D17" s="1"/>
    </row>
    <row r="18" spans="2:4" x14ac:dyDescent="0.35">
      <c r="B18" s="8" t="b">
        <v>1</v>
      </c>
      <c r="C18" s="1" t="s">
        <v>65</v>
      </c>
      <c r="D18" s="1" t="s">
        <v>78</v>
      </c>
    </row>
    <row r="19" spans="2:4" x14ac:dyDescent="0.35">
      <c r="B19" s="8" t="b">
        <v>0</v>
      </c>
      <c r="C19" s="1" t="s">
        <v>66</v>
      </c>
      <c r="D19" s="1"/>
    </row>
    <row r="20" spans="2:4" x14ac:dyDescent="0.35">
      <c r="B20" s="8" t="b">
        <v>0</v>
      </c>
      <c r="C20" s="1" t="s">
        <v>67</v>
      </c>
      <c r="D20" s="1"/>
    </row>
    <row r="21" spans="2:4" x14ac:dyDescent="0.35">
      <c r="B21" s="8" t="b">
        <v>1</v>
      </c>
      <c r="C21" s="1" t="s">
        <v>68</v>
      </c>
      <c r="D21" s="1" t="s">
        <v>79</v>
      </c>
    </row>
    <row r="22" spans="2:4" x14ac:dyDescent="0.35">
      <c r="B22" s="8" t="b">
        <v>1</v>
      </c>
      <c r="C22" s="1" t="s">
        <v>80</v>
      </c>
      <c r="D22" s="9" t="s">
        <v>81</v>
      </c>
    </row>
  </sheetData>
  <mergeCells count="3">
    <mergeCell ref="B2:D2"/>
    <mergeCell ref="F2:H2"/>
    <mergeCell ref="J2:L2"/>
  </mergeCells>
  <hyperlinks>
    <hyperlink ref="D22" r:id="rId1" xr:uid="{2E84774D-4A67-4516-B06D-6D6070CA5B5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B2608-3410-437F-813B-73C2CFC829CF}">
  <sheetPr codeName="Sheet3">
    <tabColor theme="6" tint="-0.249977111117893"/>
  </sheetPr>
  <dimension ref="B2:I50"/>
  <sheetViews>
    <sheetView showGridLines="0" workbookViewId="0">
      <selection activeCell="D17" sqref="D17"/>
    </sheetView>
  </sheetViews>
  <sheetFormatPr defaultRowHeight="14.5" x14ac:dyDescent="0.35"/>
  <cols>
    <col min="3" max="3" width="15.36328125" customWidth="1"/>
    <col min="4" max="5" width="17.90625" customWidth="1"/>
    <col min="6" max="6" width="21.1796875" customWidth="1"/>
    <col min="7" max="7" width="16.54296875" customWidth="1"/>
    <col min="8" max="8" width="16.81640625" customWidth="1"/>
  </cols>
  <sheetData>
    <row r="2" spans="2:9" x14ac:dyDescent="0.35">
      <c r="B2" s="25" t="s">
        <v>25</v>
      </c>
      <c r="C2" s="25" t="s">
        <v>0</v>
      </c>
      <c r="D2" s="25" t="s">
        <v>13</v>
      </c>
      <c r="E2" s="25" t="s">
        <v>116</v>
      </c>
      <c r="F2" s="25" t="s">
        <v>14</v>
      </c>
      <c r="G2" s="25" t="s">
        <v>15</v>
      </c>
      <c r="H2" s="25" t="s">
        <v>16</v>
      </c>
      <c r="I2" s="25" t="s">
        <v>17</v>
      </c>
    </row>
    <row r="3" spans="2:9" x14ac:dyDescent="0.35">
      <c r="B3" s="1">
        <v>1</v>
      </c>
      <c r="C3" s="1" t="s">
        <v>3</v>
      </c>
      <c r="D3" s="1" t="s">
        <v>117</v>
      </c>
      <c r="E3" s="1">
        <v>2</v>
      </c>
      <c r="F3" s="1"/>
      <c r="G3" s="6">
        <v>45904</v>
      </c>
      <c r="H3" s="1">
        <v>4000</v>
      </c>
      <c r="I3" s="1" t="s">
        <v>123</v>
      </c>
    </row>
    <row r="4" spans="2:9" x14ac:dyDescent="0.35">
      <c r="B4" s="1">
        <v>2</v>
      </c>
      <c r="C4" s="1" t="s">
        <v>12</v>
      </c>
      <c r="D4" s="1" t="s">
        <v>118</v>
      </c>
      <c r="E4" s="1">
        <v>1</v>
      </c>
      <c r="F4" s="1" t="s">
        <v>119</v>
      </c>
      <c r="G4" s="6">
        <v>45904</v>
      </c>
      <c r="H4" s="1">
        <v>288</v>
      </c>
      <c r="I4" s="1" t="s">
        <v>123</v>
      </c>
    </row>
    <row r="5" spans="2:9" x14ac:dyDescent="0.35">
      <c r="B5" s="1">
        <v>3</v>
      </c>
      <c r="C5" s="1" t="s">
        <v>12</v>
      </c>
      <c r="D5" s="1" t="s">
        <v>120</v>
      </c>
      <c r="E5" s="1">
        <v>2</v>
      </c>
      <c r="F5" s="1"/>
      <c r="G5" s="6">
        <v>45904</v>
      </c>
      <c r="H5" s="1">
        <v>2050</v>
      </c>
      <c r="I5" s="1" t="s">
        <v>123</v>
      </c>
    </row>
    <row r="6" spans="2:9" x14ac:dyDescent="0.35">
      <c r="B6" s="1">
        <v>4</v>
      </c>
      <c r="C6" s="1" t="s">
        <v>12</v>
      </c>
      <c r="D6" s="1" t="s">
        <v>121</v>
      </c>
      <c r="E6" s="7" t="s">
        <v>122</v>
      </c>
      <c r="F6" s="1"/>
      <c r="G6" s="6">
        <v>45904</v>
      </c>
      <c r="H6" s="1">
        <v>930</v>
      </c>
      <c r="I6" s="1" t="s">
        <v>123</v>
      </c>
    </row>
    <row r="7" spans="2:9" x14ac:dyDescent="0.35">
      <c r="B7" s="1">
        <v>5</v>
      </c>
      <c r="C7" s="1" t="s">
        <v>2</v>
      </c>
      <c r="D7" s="1" t="s">
        <v>175</v>
      </c>
      <c r="E7" s="1"/>
      <c r="F7" s="1"/>
      <c r="G7" s="1"/>
      <c r="H7" s="1"/>
      <c r="I7" s="1" t="s">
        <v>123</v>
      </c>
    </row>
    <row r="8" spans="2:9" x14ac:dyDescent="0.35">
      <c r="B8" s="1">
        <v>6</v>
      </c>
      <c r="C8" s="1" t="s">
        <v>12</v>
      </c>
      <c r="D8" s="1" t="s">
        <v>206</v>
      </c>
      <c r="E8" s="1"/>
      <c r="F8" s="1" t="s">
        <v>207</v>
      </c>
      <c r="G8" s="6">
        <v>45902</v>
      </c>
      <c r="H8" s="1"/>
      <c r="I8" s="1" t="s">
        <v>123</v>
      </c>
    </row>
    <row r="9" spans="2:9" x14ac:dyDescent="0.35">
      <c r="B9" s="1">
        <v>7</v>
      </c>
      <c r="C9" s="1" t="s">
        <v>3</v>
      </c>
      <c r="D9" s="1" t="s">
        <v>209</v>
      </c>
      <c r="E9" s="1">
        <v>2</v>
      </c>
      <c r="F9" s="1"/>
      <c r="G9" s="1"/>
      <c r="H9" s="1"/>
      <c r="I9" s="1"/>
    </row>
    <row r="10" spans="2:9" x14ac:dyDescent="0.35">
      <c r="B10" s="1">
        <v>8</v>
      </c>
      <c r="C10" s="1" t="s">
        <v>12</v>
      </c>
      <c r="D10" s="1" t="s">
        <v>206</v>
      </c>
      <c r="E10" s="1">
        <v>1</v>
      </c>
      <c r="F10" s="1"/>
      <c r="G10" s="6">
        <v>45902</v>
      </c>
      <c r="H10" s="1"/>
      <c r="I10" s="1"/>
    </row>
    <row r="11" spans="2:9" x14ac:dyDescent="0.35">
      <c r="B11" s="1"/>
      <c r="C11" s="1"/>
      <c r="D11" s="1"/>
      <c r="E11" s="1"/>
      <c r="F11" s="1"/>
      <c r="G11" s="1"/>
      <c r="H11" s="1"/>
      <c r="I11" s="1"/>
    </row>
    <row r="12" spans="2:9" x14ac:dyDescent="0.35">
      <c r="B12" s="1"/>
      <c r="C12" s="1"/>
      <c r="D12" s="1"/>
      <c r="E12" s="1"/>
      <c r="F12" s="1"/>
      <c r="G12" s="1"/>
      <c r="H12" s="1"/>
      <c r="I12" s="1"/>
    </row>
    <row r="13" spans="2:9" x14ac:dyDescent="0.35">
      <c r="B13" s="1"/>
      <c r="C13" s="1"/>
      <c r="D13" s="1"/>
      <c r="E13" s="1"/>
      <c r="F13" s="1"/>
      <c r="G13" s="1"/>
      <c r="H13" s="1"/>
      <c r="I13" s="1"/>
    </row>
    <row r="14" spans="2:9" x14ac:dyDescent="0.35">
      <c r="B14" s="1"/>
      <c r="C14" s="1"/>
      <c r="D14" s="1"/>
      <c r="E14" s="1"/>
      <c r="F14" s="1"/>
      <c r="G14" s="1"/>
      <c r="H14" s="1"/>
      <c r="I14" s="1"/>
    </row>
    <row r="15" spans="2:9" x14ac:dyDescent="0.35">
      <c r="B15" s="1"/>
      <c r="C15" s="1"/>
      <c r="D15" s="1"/>
      <c r="E15" s="1"/>
      <c r="F15" s="1"/>
      <c r="G15" s="1"/>
      <c r="H15" s="1"/>
      <c r="I15" s="1"/>
    </row>
    <row r="16" spans="2:9" x14ac:dyDescent="0.35">
      <c r="B16" s="1"/>
      <c r="C16" s="1"/>
      <c r="D16" s="1"/>
      <c r="E16" s="1"/>
      <c r="F16" s="1"/>
      <c r="G16" s="1"/>
      <c r="H16" s="1"/>
      <c r="I16" s="1"/>
    </row>
    <row r="17" spans="2:9" x14ac:dyDescent="0.35">
      <c r="B17" s="1"/>
      <c r="C17" s="1"/>
      <c r="D17" s="1"/>
      <c r="E17" s="1"/>
      <c r="F17" s="1"/>
      <c r="G17" s="1"/>
      <c r="H17" s="1"/>
      <c r="I17" s="1"/>
    </row>
    <row r="18" spans="2:9" x14ac:dyDescent="0.35">
      <c r="B18" s="1"/>
      <c r="C18" s="1"/>
      <c r="D18" s="1"/>
      <c r="E18" s="1"/>
      <c r="F18" s="1"/>
      <c r="G18" s="1"/>
      <c r="H18" s="1"/>
      <c r="I18" s="1"/>
    </row>
    <row r="19" spans="2:9" x14ac:dyDescent="0.35">
      <c r="B19" s="1"/>
      <c r="C19" s="1"/>
      <c r="D19" s="1"/>
      <c r="E19" s="1"/>
      <c r="F19" s="1"/>
      <c r="G19" s="1"/>
      <c r="H19" s="1"/>
      <c r="I19" s="1"/>
    </row>
    <row r="20" spans="2:9" x14ac:dyDescent="0.35">
      <c r="B20" s="1"/>
      <c r="C20" s="1"/>
      <c r="D20" s="1"/>
      <c r="E20" s="1"/>
      <c r="F20" s="1"/>
      <c r="G20" s="1"/>
      <c r="H20" s="1"/>
      <c r="I20" s="1"/>
    </row>
    <row r="21" spans="2:9" x14ac:dyDescent="0.35">
      <c r="B21" s="1"/>
      <c r="C21" s="1"/>
      <c r="D21" s="1"/>
      <c r="E21" s="1"/>
      <c r="F21" s="1"/>
      <c r="G21" s="1"/>
      <c r="H21" s="1"/>
      <c r="I21" s="1"/>
    </row>
    <row r="22" spans="2:9" x14ac:dyDescent="0.35">
      <c r="B22" s="1"/>
      <c r="C22" s="1"/>
      <c r="D22" s="1"/>
      <c r="E22" s="1"/>
      <c r="F22" s="1"/>
      <c r="G22" s="1"/>
      <c r="H22" s="1"/>
      <c r="I22" s="1"/>
    </row>
    <row r="23" spans="2:9" x14ac:dyDescent="0.35">
      <c r="B23" s="1"/>
      <c r="C23" s="1"/>
      <c r="D23" s="1"/>
      <c r="E23" s="1"/>
      <c r="F23" s="1"/>
      <c r="G23" s="1"/>
      <c r="H23" s="1"/>
      <c r="I23" s="1"/>
    </row>
    <row r="24" spans="2:9" x14ac:dyDescent="0.35">
      <c r="B24" s="1"/>
      <c r="C24" s="1"/>
      <c r="D24" s="1"/>
      <c r="E24" s="1"/>
      <c r="F24" s="1"/>
      <c r="G24" s="1"/>
      <c r="H24" s="1"/>
      <c r="I24" s="1"/>
    </row>
    <row r="25" spans="2:9" x14ac:dyDescent="0.35">
      <c r="B25" s="1"/>
      <c r="C25" s="1"/>
      <c r="D25" s="1"/>
      <c r="E25" s="1"/>
      <c r="F25" s="1"/>
      <c r="G25" s="1"/>
      <c r="H25" s="1"/>
      <c r="I25" s="1"/>
    </row>
    <row r="26" spans="2:9" x14ac:dyDescent="0.35">
      <c r="B26" s="1"/>
      <c r="C26" s="1"/>
      <c r="D26" s="1"/>
      <c r="E26" s="1"/>
      <c r="F26" s="1"/>
      <c r="G26" s="1"/>
      <c r="H26" s="1"/>
      <c r="I26" s="1"/>
    </row>
    <row r="27" spans="2:9" x14ac:dyDescent="0.35">
      <c r="B27" s="1"/>
      <c r="C27" s="1"/>
      <c r="D27" s="1"/>
      <c r="E27" s="1"/>
      <c r="F27" s="1"/>
      <c r="G27" s="1"/>
      <c r="H27" s="1"/>
      <c r="I27" s="1"/>
    </row>
    <row r="28" spans="2:9" x14ac:dyDescent="0.35">
      <c r="B28" s="1"/>
      <c r="C28" s="1"/>
      <c r="D28" s="1"/>
      <c r="E28" s="1"/>
      <c r="F28" s="1"/>
      <c r="G28" s="1"/>
      <c r="H28" s="1"/>
      <c r="I28" s="1"/>
    </row>
    <row r="29" spans="2:9" x14ac:dyDescent="0.35">
      <c r="B29" s="1"/>
      <c r="C29" s="1"/>
      <c r="D29" s="1"/>
      <c r="E29" s="1"/>
      <c r="F29" s="1"/>
      <c r="G29" s="1"/>
      <c r="H29" s="1"/>
      <c r="I29" s="1"/>
    </row>
    <row r="30" spans="2:9" x14ac:dyDescent="0.35">
      <c r="B30" s="1"/>
      <c r="C30" s="1"/>
      <c r="D30" s="1"/>
      <c r="E30" s="1"/>
      <c r="F30" s="1"/>
      <c r="G30" s="1"/>
      <c r="H30" s="1"/>
      <c r="I30" s="1"/>
    </row>
    <row r="31" spans="2:9" x14ac:dyDescent="0.35">
      <c r="B31" s="1"/>
      <c r="C31" s="1"/>
      <c r="D31" s="1"/>
      <c r="E31" s="1"/>
      <c r="F31" s="1"/>
      <c r="G31" s="1"/>
      <c r="H31" s="1"/>
      <c r="I31" s="1"/>
    </row>
    <row r="32" spans="2:9" x14ac:dyDescent="0.35">
      <c r="B32" s="1"/>
      <c r="C32" s="1"/>
      <c r="D32" s="1"/>
      <c r="E32" s="1"/>
      <c r="F32" s="1"/>
      <c r="G32" s="1"/>
      <c r="H32" s="1"/>
      <c r="I32" s="1"/>
    </row>
    <row r="33" spans="2:9" x14ac:dyDescent="0.35">
      <c r="B33" s="1"/>
      <c r="C33" s="1"/>
      <c r="D33" s="1"/>
      <c r="E33" s="1"/>
      <c r="F33" s="1"/>
      <c r="G33" s="1"/>
      <c r="H33" s="1"/>
      <c r="I33" s="1"/>
    </row>
    <row r="34" spans="2:9" x14ac:dyDescent="0.35">
      <c r="B34" s="1"/>
      <c r="C34" s="1"/>
      <c r="D34" s="1"/>
      <c r="E34" s="1"/>
      <c r="F34" s="1"/>
      <c r="G34" s="1"/>
      <c r="H34" s="1"/>
      <c r="I34" s="1"/>
    </row>
    <row r="35" spans="2:9" x14ac:dyDescent="0.35">
      <c r="B35" s="1"/>
      <c r="C35" s="1"/>
      <c r="D35" s="1"/>
      <c r="E35" s="1"/>
      <c r="F35" s="1"/>
      <c r="G35" s="1"/>
      <c r="H35" s="1"/>
      <c r="I35" s="1"/>
    </row>
    <row r="36" spans="2:9" x14ac:dyDescent="0.35">
      <c r="B36" s="1"/>
      <c r="C36" s="1"/>
      <c r="D36" s="1"/>
      <c r="E36" s="1"/>
      <c r="F36" s="1"/>
      <c r="G36" s="1"/>
      <c r="H36" s="1"/>
      <c r="I36" s="1"/>
    </row>
    <row r="37" spans="2:9" x14ac:dyDescent="0.35">
      <c r="B37" s="1"/>
      <c r="C37" s="1"/>
      <c r="D37" s="1"/>
      <c r="E37" s="1"/>
      <c r="F37" s="1"/>
      <c r="G37" s="1"/>
      <c r="H37" s="1"/>
      <c r="I37" s="1"/>
    </row>
    <row r="38" spans="2:9" x14ac:dyDescent="0.35">
      <c r="B38" s="1"/>
      <c r="C38" s="1"/>
      <c r="D38" s="1"/>
      <c r="E38" s="1"/>
      <c r="F38" s="1"/>
      <c r="G38" s="1"/>
      <c r="H38" s="1"/>
      <c r="I38" s="1"/>
    </row>
    <row r="39" spans="2:9" x14ac:dyDescent="0.35">
      <c r="B39" s="1"/>
      <c r="C39" s="1"/>
      <c r="D39" s="1"/>
      <c r="E39" s="1"/>
      <c r="F39" s="1"/>
      <c r="G39" s="1"/>
      <c r="H39" s="1"/>
      <c r="I39" s="1"/>
    </row>
    <row r="40" spans="2:9" x14ac:dyDescent="0.35">
      <c r="B40" s="1"/>
      <c r="C40" s="1"/>
      <c r="D40" s="1"/>
      <c r="E40" s="1"/>
      <c r="F40" s="1"/>
      <c r="G40" s="1"/>
      <c r="H40" s="1"/>
      <c r="I40" s="1"/>
    </row>
    <row r="41" spans="2:9" x14ac:dyDescent="0.35">
      <c r="B41" s="1"/>
      <c r="C41" s="1"/>
      <c r="D41" s="1"/>
      <c r="E41" s="1"/>
      <c r="F41" s="1"/>
      <c r="G41" s="1"/>
      <c r="H41" s="1"/>
      <c r="I41" s="1"/>
    </row>
    <row r="42" spans="2:9" x14ac:dyDescent="0.35">
      <c r="B42" s="1"/>
      <c r="C42" s="1"/>
      <c r="D42" s="1"/>
      <c r="E42" s="1"/>
      <c r="F42" s="1"/>
      <c r="G42" s="1"/>
      <c r="H42" s="1"/>
      <c r="I42" s="1"/>
    </row>
    <row r="43" spans="2:9" x14ac:dyDescent="0.35">
      <c r="B43" s="1"/>
      <c r="C43" s="1"/>
      <c r="D43" s="1"/>
      <c r="E43" s="1"/>
      <c r="F43" s="1"/>
      <c r="G43" s="1"/>
      <c r="H43" s="1"/>
      <c r="I43" s="1"/>
    </row>
    <row r="44" spans="2:9" x14ac:dyDescent="0.35">
      <c r="B44" s="1"/>
      <c r="C44" s="1"/>
      <c r="D44" s="1"/>
      <c r="E44" s="1"/>
      <c r="F44" s="1"/>
      <c r="G44" s="1"/>
      <c r="H44" s="1"/>
      <c r="I44" s="1"/>
    </row>
    <row r="45" spans="2:9" x14ac:dyDescent="0.35">
      <c r="B45" s="1"/>
      <c r="C45" s="1"/>
      <c r="D45" s="1"/>
      <c r="E45" s="1"/>
      <c r="F45" s="1"/>
      <c r="G45" s="1"/>
      <c r="H45" s="1"/>
      <c r="I45" s="1"/>
    </row>
    <row r="46" spans="2:9" x14ac:dyDescent="0.35">
      <c r="B46" s="1"/>
      <c r="C46" s="1"/>
      <c r="D46" s="1"/>
      <c r="E46" s="1"/>
      <c r="F46" s="1"/>
      <c r="G46" s="1"/>
      <c r="H46" s="1"/>
      <c r="I46" s="1"/>
    </row>
    <row r="47" spans="2:9" x14ac:dyDescent="0.35">
      <c r="B47" s="1"/>
      <c r="C47" s="1"/>
      <c r="D47" s="1"/>
      <c r="E47" s="1"/>
      <c r="F47" s="1"/>
      <c r="G47" s="1"/>
      <c r="H47" s="1"/>
      <c r="I47" s="1"/>
    </row>
    <row r="48" spans="2:9" x14ac:dyDescent="0.35">
      <c r="B48" s="1"/>
      <c r="C48" s="1"/>
      <c r="D48" s="1"/>
      <c r="E48" s="1"/>
      <c r="F48" s="1"/>
      <c r="G48" s="1"/>
      <c r="H48" s="1"/>
      <c r="I48" s="1"/>
    </row>
    <row r="49" spans="2:9" x14ac:dyDescent="0.35">
      <c r="B49" s="1"/>
      <c r="C49" s="1"/>
      <c r="D49" s="1"/>
      <c r="E49" s="1"/>
      <c r="F49" s="1"/>
      <c r="G49" s="1"/>
      <c r="H49" s="1"/>
      <c r="I49" s="1"/>
    </row>
    <row r="50" spans="2:9" x14ac:dyDescent="0.35">
      <c r="B50" s="1"/>
      <c r="C50" s="1"/>
      <c r="D50" s="1"/>
      <c r="E50" s="1"/>
      <c r="F50" s="1"/>
      <c r="G50" s="1"/>
      <c r="H50" s="1"/>
      <c r="I50" s="1"/>
    </row>
  </sheetData>
  <dataValidations count="2">
    <dataValidation type="list" allowBlank="1" showInputMessage="1" showErrorMessage="1" sqref="C3" xr:uid="{418205F1-77F0-4C23-9E51-81CDD305EA6F}">
      <formula1>AssetCategory</formula1>
    </dataValidation>
    <dataValidation type="list" allowBlank="1" showInputMessage="1" showErrorMessage="1" sqref="I2:I50" xr:uid="{1D2ABB63-F2BE-425B-94BD-570C0F1AAED5}">
      <formula1>"Available, Under Maintenance, Need to Purchase"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03EDFD0-6165-4198-B014-2DA39B8A7F35}">
          <x14:formula1>
            <xm:f>Configuration!$B$4:$B$50</xm:f>
          </x14:formula1>
          <xm:sqref>C4:C50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00C36-731A-4155-A1CC-178D455F686B}">
  <sheetPr codeName="Sheet5">
    <tabColor theme="5" tint="-0.249977111117893"/>
  </sheetPr>
  <dimension ref="A1:Y70"/>
  <sheetViews>
    <sheetView tabSelected="1" topLeftCell="L1" workbookViewId="0">
      <pane ySplit="1" topLeftCell="A2" activePane="bottomLeft" state="frozen"/>
      <selection activeCell="J1" sqref="J1"/>
      <selection pane="bottomLeft" activeCell="Q1" sqref="Q1"/>
    </sheetView>
  </sheetViews>
  <sheetFormatPr defaultRowHeight="14.5" x14ac:dyDescent="0.35"/>
  <cols>
    <col min="2" max="2" width="17.54296875" style="34" customWidth="1"/>
    <col min="3" max="3" width="14.90625" customWidth="1"/>
    <col min="4" max="4" width="9.1796875" customWidth="1"/>
    <col min="5" max="5" width="8.90625" customWidth="1"/>
    <col min="6" max="6" width="12.54296875" customWidth="1"/>
    <col min="7" max="7" width="15.08984375" customWidth="1"/>
    <col min="8" max="8" width="8.1796875" customWidth="1"/>
    <col min="9" max="9" width="10" customWidth="1"/>
    <col min="10" max="10" width="8" customWidth="1"/>
    <col min="11" max="11" width="7.1796875" customWidth="1"/>
    <col min="12" max="12" width="8.81640625" customWidth="1"/>
    <col min="13" max="13" width="9.7265625" customWidth="1"/>
    <col min="14" max="14" width="9" customWidth="1"/>
    <col min="15" max="15" width="10.453125" customWidth="1"/>
    <col min="16" max="16" width="26.6328125" customWidth="1"/>
    <col min="17" max="17" width="14.08984375" customWidth="1"/>
    <col min="18" max="18" width="11" customWidth="1"/>
    <col min="19" max="19" width="10.54296875" customWidth="1"/>
    <col min="20" max="20" width="13.26953125" customWidth="1"/>
    <col min="21" max="21" width="10.54296875" customWidth="1"/>
    <col min="22" max="22" width="9.7265625" customWidth="1"/>
    <col min="23" max="23" width="20.81640625" customWidth="1"/>
    <col min="24" max="24" width="10.6328125" customWidth="1"/>
    <col min="25" max="25" width="53.08984375" customWidth="1"/>
  </cols>
  <sheetData>
    <row r="1" spans="1:25" s="33" customFormat="1" ht="29" x14ac:dyDescent="0.35">
      <c r="A1" s="26" t="s">
        <v>25</v>
      </c>
      <c r="B1" s="26" t="s">
        <v>18</v>
      </c>
      <c r="C1" s="26" t="s">
        <v>19</v>
      </c>
      <c r="D1" s="26" t="s">
        <v>127</v>
      </c>
      <c r="E1" s="26" t="s">
        <v>20</v>
      </c>
      <c r="F1" s="26" t="s">
        <v>124</v>
      </c>
      <c r="G1" s="26" t="s">
        <v>149</v>
      </c>
      <c r="H1" s="26" t="s">
        <v>44</v>
      </c>
      <c r="I1" s="26" t="s">
        <v>17</v>
      </c>
      <c r="J1" s="26" t="s">
        <v>21</v>
      </c>
      <c r="K1" s="26" t="s">
        <v>22</v>
      </c>
      <c r="L1" s="26" t="s">
        <v>23</v>
      </c>
      <c r="M1" s="26" t="s">
        <v>128</v>
      </c>
      <c r="N1" s="26" t="s">
        <v>125</v>
      </c>
      <c r="O1" s="26" t="s">
        <v>126</v>
      </c>
      <c r="P1" s="26" t="s">
        <v>24</v>
      </c>
      <c r="Q1" s="26" t="s">
        <v>184</v>
      </c>
      <c r="R1" s="26" t="s">
        <v>135</v>
      </c>
      <c r="S1" s="26" t="s">
        <v>192</v>
      </c>
      <c r="T1" s="26" t="s">
        <v>193</v>
      </c>
      <c r="U1" s="26" t="s">
        <v>34</v>
      </c>
      <c r="V1" s="26" t="s">
        <v>185</v>
      </c>
      <c r="W1" s="26" t="s">
        <v>208</v>
      </c>
      <c r="X1" s="26" t="s">
        <v>132</v>
      </c>
      <c r="Y1" s="26" t="s">
        <v>138</v>
      </c>
    </row>
    <row r="2" spans="1:25" x14ac:dyDescent="0.35">
      <c r="A2" s="102" t="s">
        <v>142</v>
      </c>
      <c r="B2" s="103"/>
      <c r="C2" s="103"/>
      <c r="D2" s="103"/>
      <c r="E2" s="103"/>
      <c r="F2" s="103"/>
      <c r="G2" s="103"/>
      <c r="H2" s="103"/>
      <c r="I2" s="104"/>
      <c r="J2" s="102" t="s">
        <v>143</v>
      </c>
      <c r="K2" s="103"/>
      <c r="L2" s="103"/>
      <c r="M2" s="103"/>
      <c r="N2" s="103"/>
      <c r="O2" s="104"/>
      <c r="P2" s="52" t="s">
        <v>144</v>
      </c>
      <c r="Q2" s="53"/>
      <c r="R2" s="53"/>
      <c r="S2" s="53"/>
      <c r="T2" s="53"/>
      <c r="U2" s="53"/>
      <c r="V2" s="53"/>
      <c r="W2" s="54"/>
      <c r="X2" s="105" t="s">
        <v>145</v>
      </c>
      <c r="Y2" s="106"/>
    </row>
    <row r="3" spans="1:25" ht="159.5" x14ac:dyDescent="0.35">
      <c r="A3" s="13">
        <v>1</v>
      </c>
      <c r="B3" s="16" t="s">
        <v>36</v>
      </c>
      <c r="C3" s="16" t="s">
        <v>37</v>
      </c>
      <c r="D3" s="11">
        <v>45889</v>
      </c>
      <c r="E3" s="11">
        <v>45891</v>
      </c>
      <c r="F3" s="2" t="s">
        <v>146</v>
      </c>
      <c r="G3" s="16" t="s">
        <v>205</v>
      </c>
      <c r="H3" s="2" t="s">
        <v>45</v>
      </c>
      <c r="I3" s="2" t="s">
        <v>134</v>
      </c>
      <c r="J3" s="2">
        <v>2500</v>
      </c>
      <c r="K3" s="2">
        <v>2500</v>
      </c>
      <c r="L3" s="10" t="s">
        <v>201</v>
      </c>
      <c r="M3" s="17">
        <v>2500</v>
      </c>
      <c r="N3" s="17">
        <v>0</v>
      </c>
      <c r="O3" s="13" t="str">
        <f>IF(M3 &gt; N3, "Profit", "Loss")</f>
        <v>Profit</v>
      </c>
      <c r="P3" s="19" t="s">
        <v>152</v>
      </c>
      <c r="Q3" s="19" t="s">
        <v>32</v>
      </c>
      <c r="R3" s="19" t="s">
        <v>137</v>
      </c>
      <c r="S3" s="18" t="s">
        <v>99</v>
      </c>
      <c r="T3" s="23" t="s">
        <v>32</v>
      </c>
      <c r="U3" s="23" t="s">
        <v>190</v>
      </c>
      <c r="V3" s="18" t="s">
        <v>137</v>
      </c>
      <c r="W3" s="29">
        <v>2500</v>
      </c>
      <c r="X3" s="20" t="s">
        <v>134</v>
      </c>
      <c r="Y3" s="21" t="s">
        <v>139</v>
      </c>
    </row>
    <row r="4" spans="1:25" ht="29" x14ac:dyDescent="0.35">
      <c r="A4" s="46">
        <v>2</v>
      </c>
      <c r="B4" s="56" t="s">
        <v>11</v>
      </c>
      <c r="C4" s="56" t="s">
        <v>35</v>
      </c>
      <c r="D4" s="59">
        <v>45902</v>
      </c>
      <c r="E4" s="62">
        <v>45902</v>
      </c>
      <c r="F4" s="46" t="s">
        <v>147</v>
      </c>
      <c r="G4" s="65" t="s">
        <v>204</v>
      </c>
      <c r="H4" s="59" t="s">
        <v>46</v>
      </c>
      <c r="I4" s="59" t="s">
        <v>134</v>
      </c>
      <c r="J4" s="46">
        <v>8750</v>
      </c>
      <c r="K4" s="46">
        <v>7500</v>
      </c>
      <c r="L4" s="46" t="s">
        <v>201</v>
      </c>
      <c r="M4" s="49">
        <v>7500</v>
      </c>
      <c r="N4" s="49">
        <v>13433</v>
      </c>
      <c r="O4" s="46" t="str">
        <f>IF(M4 &gt; N4, "Profit", "Loss")</f>
        <v>Loss</v>
      </c>
      <c r="P4" s="41" t="s">
        <v>113</v>
      </c>
      <c r="Q4" s="41" t="s">
        <v>32</v>
      </c>
      <c r="R4" s="41" t="s">
        <v>137</v>
      </c>
      <c r="S4" s="18" t="s">
        <v>99</v>
      </c>
      <c r="T4" s="23" t="s">
        <v>30</v>
      </c>
      <c r="U4" s="23" t="s">
        <v>191</v>
      </c>
      <c r="V4" s="18" t="s">
        <v>137</v>
      </c>
      <c r="W4" s="41">
        <v>720</v>
      </c>
      <c r="X4" s="68" t="s">
        <v>134</v>
      </c>
      <c r="Y4" s="71" t="s">
        <v>141</v>
      </c>
    </row>
    <row r="5" spans="1:25" x14ac:dyDescent="0.35">
      <c r="A5" s="47"/>
      <c r="B5" s="57"/>
      <c r="C5" s="57"/>
      <c r="D5" s="60"/>
      <c r="E5" s="63"/>
      <c r="F5" s="47"/>
      <c r="G5" s="66"/>
      <c r="H5" s="60"/>
      <c r="I5" s="60"/>
      <c r="J5" s="47"/>
      <c r="K5" s="47"/>
      <c r="L5" s="47"/>
      <c r="M5" s="50"/>
      <c r="N5" s="50"/>
      <c r="O5" s="47"/>
      <c r="P5" s="45"/>
      <c r="Q5" s="45"/>
      <c r="R5" s="45"/>
      <c r="S5" s="18" t="s">
        <v>99</v>
      </c>
      <c r="T5" s="23" t="s">
        <v>32</v>
      </c>
      <c r="U5" s="23" t="s">
        <v>190</v>
      </c>
      <c r="V5" s="18" t="s">
        <v>137</v>
      </c>
      <c r="W5" s="45"/>
      <c r="X5" s="69"/>
      <c r="Y5" s="72"/>
    </row>
    <row r="6" spans="1:25" ht="30" customHeight="1" x14ac:dyDescent="0.35">
      <c r="A6" s="47"/>
      <c r="B6" s="57"/>
      <c r="C6" s="57"/>
      <c r="D6" s="60"/>
      <c r="E6" s="63"/>
      <c r="F6" s="47"/>
      <c r="G6" s="66"/>
      <c r="H6" s="60"/>
      <c r="I6" s="60"/>
      <c r="J6" s="47"/>
      <c r="K6" s="47"/>
      <c r="L6" s="47"/>
      <c r="M6" s="50"/>
      <c r="N6" s="50"/>
      <c r="O6" s="47"/>
      <c r="P6" s="42"/>
      <c r="Q6" s="42"/>
      <c r="R6" s="42"/>
      <c r="S6" s="14" t="s">
        <v>96</v>
      </c>
      <c r="T6" s="15" t="s">
        <v>120</v>
      </c>
      <c r="U6" s="15" t="s">
        <v>196</v>
      </c>
      <c r="V6" s="14" t="s">
        <v>137</v>
      </c>
      <c r="W6" s="42"/>
      <c r="X6" s="69"/>
      <c r="Y6" s="72"/>
    </row>
    <row r="7" spans="1:25" ht="29.5" customHeight="1" x14ac:dyDescent="0.35">
      <c r="A7" s="47"/>
      <c r="B7" s="57"/>
      <c r="C7" s="57"/>
      <c r="D7" s="60"/>
      <c r="E7" s="63"/>
      <c r="F7" s="47"/>
      <c r="G7" s="66"/>
      <c r="H7" s="60"/>
      <c r="I7" s="60"/>
      <c r="J7" s="47"/>
      <c r="K7" s="47"/>
      <c r="L7" s="47"/>
      <c r="M7" s="50"/>
      <c r="N7" s="50"/>
      <c r="O7" s="47"/>
      <c r="P7" s="41" t="s">
        <v>114</v>
      </c>
      <c r="Q7" s="41" t="s">
        <v>32</v>
      </c>
      <c r="R7" s="41" t="s">
        <v>137</v>
      </c>
      <c r="S7" s="14" t="s">
        <v>99</v>
      </c>
      <c r="T7" s="15" t="s">
        <v>30</v>
      </c>
      <c r="U7" s="15" t="s">
        <v>191</v>
      </c>
      <c r="V7" s="14" t="s">
        <v>137</v>
      </c>
      <c r="W7" s="41">
        <v>1880</v>
      </c>
      <c r="X7" s="69"/>
      <c r="Y7" s="72"/>
    </row>
    <row r="8" spans="1:25" ht="28" customHeight="1" x14ac:dyDescent="0.35">
      <c r="A8" s="47"/>
      <c r="B8" s="57"/>
      <c r="C8" s="57"/>
      <c r="D8" s="60"/>
      <c r="E8" s="63"/>
      <c r="F8" s="47"/>
      <c r="G8" s="66"/>
      <c r="H8" s="60"/>
      <c r="I8" s="60"/>
      <c r="J8" s="47"/>
      <c r="K8" s="47"/>
      <c r="L8" s="47"/>
      <c r="M8" s="50"/>
      <c r="N8" s="50"/>
      <c r="O8" s="47"/>
      <c r="P8" s="45"/>
      <c r="Q8" s="45"/>
      <c r="R8" s="45"/>
      <c r="S8" s="14" t="s">
        <v>99</v>
      </c>
      <c r="T8" s="15" t="s">
        <v>32</v>
      </c>
      <c r="U8" s="15" t="s">
        <v>190</v>
      </c>
      <c r="V8" s="14" t="s">
        <v>137</v>
      </c>
      <c r="W8" s="45"/>
      <c r="X8" s="69"/>
      <c r="Y8" s="72"/>
    </row>
    <row r="9" spans="1:25" ht="31.5" customHeight="1" x14ac:dyDescent="0.35">
      <c r="A9" s="47"/>
      <c r="B9" s="57"/>
      <c r="C9" s="57"/>
      <c r="D9" s="60"/>
      <c r="E9" s="63"/>
      <c r="F9" s="47"/>
      <c r="G9" s="66"/>
      <c r="H9" s="60"/>
      <c r="I9" s="60"/>
      <c r="J9" s="47"/>
      <c r="K9" s="47"/>
      <c r="L9" s="47"/>
      <c r="M9" s="50"/>
      <c r="N9" s="50"/>
      <c r="O9" s="47"/>
      <c r="P9" s="42"/>
      <c r="Q9" s="42"/>
      <c r="R9" s="42"/>
      <c r="S9" s="14" t="s">
        <v>96</v>
      </c>
      <c r="T9" s="15" t="s">
        <v>120</v>
      </c>
      <c r="U9" s="15" t="s">
        <v>196</v>
      </c>
      <c r="V9" s="14" t="s">
        <v>137</v>
      </c>
      <c r="W9" s="42"/>
      <c r="X9" s="69"/>
      <c r="Y9" s="72"/>
    </row>
    <row r="10" spans="1:25" ht="31.5" customHeight="1" x14ac:dyDescent="0.35">
      <c r="A10" s="47"/>
      <c r="B10" s="57"/>
      <c r="C10" s="57"/>
      <c r="D10" s="60"/>
      <c r="E10" s="63"/>
      <c r="F10" s="47"/>
      <c r="G10" s="66"/>
      <c r="H10" s="60"/>
      <c r="I10" s="60"/>
      <c r="J10" s="47"/>
      <c r="K10" s="47"/>
      <c r="L10" s="47"/>
      <c r="M10" s="50"/>
      <c r="N10" s="50"/>
      <c r="O10" s="47"/>
      <c r="P10" s="43" t="s">
        <v>115</v>
      </c>
      <c r="Q10" s="43" t="s">
        <v>32</v>
      </c>
      <c r="R10" s="43" t="s">
        <v>137</v>
      </c>
      <c r="S10" s="14" t="s">
        <v>99</v>
      </c>
      <c r="T10" s="15" t="s">
        <v>30</v>
      </c>
      <c r="U10" s="15" t="s">
        <v>188</v>
      </c>
      <c r="V10" s="14" t="s">
        <v>137</v>
      </c>
      <c r="W10" s="41">
        <v>3350</v>
      </c>
      <c r="X10" s="69"/>
      <c r="Y10" s="72"/>
    </row>
    <row r="11" spans="1:25" ht="31.5" customHeight="1" x14ac:dyDescent="0.35">
      <c r="A11" s="47"/>
      <c r="B11" s="57"/>
      <c r="C11" s="57"/>
      <c r="D11" s="60"/>
      <c r="E11" s="63"/>
      <c r="F11" s="47"/>
      <c r="G11" s="66"/>
      <c r="H11" s="60"/>
      <c r="I11" s="60"/>
      <c r="J11" s="47"/>
      <c r="K11" s="47"/>
      <c r="L11" s="47"/>
      <c r="M11" s="50"/>
      <c r="N11" s="50"/>
      <c r="O11" s="47"/>
      <c r="P11" s="74"/>
      <c r="Q11" s="74"/>
      <c r="R11" s="74"/>
      <c r="S11" s="14" t="s">
        <v>99</v>
      </c>
      <c r="T11" s="15" t="s">
        <v>32</v>
      </c>
      <c r="U11" s="15" t="s">
        <v>190</v>
      </c>
      <c r="V11" s="14" t="s">
        <v>137</v>
      </c>
      <c r="W11" s="45"/>
      <c r="X11" s="69"/>
      <c r="Y11" s="72"/>
    </row>
    <row r="12" spans="1:25" ht="31.5" customHeight="1" x14ac:dyDescent="0.35">
      <c r="A12" s="47"/>
      <c r="B12" s="57"/>
      <c r="C12" s="57"/>
      <c r="D12" s="60"/>
      <c r="E12" s="63"/>
      <c r="F12" s="47"/>
      <c r="G12" s="66"/>
      <c r="H12" s="60"/>
      <c r="I12" s="60"/>
      <c r="J12" s="47"/>
      <c r="K12" s="47"/>
      <c r="L12" s="47"/>
      <c r="M12" s="50"/>
      <c r="N12" s="50"/>
      <c r="O12" s="47"/>
      <c r="P12" s="74"/>
      <c r="Q12" s="74"/>
      <c r="R12" s="74"/>
      <c r="S12" s="14" t="s">
        <v>100</v>
      </c>
      <c r="T12" s="15" t="s">
        <v>211</v>
      </c>
      <c r="U12" s="15">
        <v>600</v>
      </c>
      <c r="V12" s="14" t="s">
        <v>201</v>
      </c>
      <c r="W12" s="45"/>
      <c r="X12" s="69"/>
      <c r="Y12" s="72"/>
    </row>
    <row r="13" spans="1:25" ht="30" customHeight="1" x14ac:dyDescent="0.35">
      <c r="A13" s="47"/>
      <c r="B13" s="57"/>
      <c r="C13" s="57"/>
      <c r="D13" s="60"/>
      <c r="E13" s="63"/>
      <c r="F13" s="47"/>
      <c r="G13" s="66"/>
      <c r="H13" s="60"/>
      <c r="I13" s="60"/>
      <c r="J13" s="47"/>
      <c r="K13" s="47"/>
      <c r="L13" s="47"/>
      <c r="M13" s="50"/>
      <c r="N13" s="50"/>
      <c r="O13" s="47"/>
      <c r="P13" s="44"/>
      <c r="Q13" s="44"/>
      <c r="R13" s="44"/>
      <c r="S13" s="14" t="s">
        <v>96</v>
      </c>
      <c r="T13" s="15" t="s">
        <v>206</v>
      </c>
      <c r="U13" s="15" t="s">
        <v>196</v>
      </c>
      <c r="V13" s="14" t="s">
        <v>137</v>
      </c>
      <c r="W13" s="42"/>
      <c r="X13" s="70"/>
      <c r="Y13" s="73"/>
    </row>
    <row r="14" spans="1:25" ht="30" customHeight="1" x14ac:dyDescent="0.35">
      <c r="A14" s="47"/>
      <c r="B14" s="57"/>
      <c r="C14" s="57"/>
      <c r="D14" s="60"/>
      <c r="E14" s="63"/>
      <c r="F14" s="47"/>
      <c r="G14" s="66"/>
      <c r="H14" s="60"/>
      <c r="I14" s="60"/>
      <c r="J14" s="47"/>
      <c r="K14" s="47"/>
      <c r="L14" s="47"/>
      <c r="M14" s="50"/>
      <c r="N14" s="50"/>
      <c r="O14" s="47"/>
      <c r="P14" s="43" t="s">
        <v>210</v>
      </c>
      <c r="Q14" s="43" t="s">
        <v>32</v>
      </c>
      <c r="R14" s="43" t="s">
        <v>137</v>
      </c>
      <c r="S14" s="14" t="s">
        <v>99</v>
      </c>
      <c r="T14" s="15" t="s">
        <v>70</v>
      </c>
      <c r="U14" s="15" t="s">
        <v>189</v>
      </c>
      <c r="V14" s="14" t="s">
        <v>137</v>
      </c>
      <c r="W14" s="41">
        <v>7483</v>
      </c>
      <c r="X14" s="27"/>
      <c r="Y14" s="28"/>
    </row>
    <row r="15" spans="1:25" ht="30" customHeight="1" x14ac:dyDescent="0.35">
      <c r="A15" s="48"/>
      <c r="B15" s="58"/>
      <c r="C15" s="58"/>
      <c r="D15" s="61"/>
      <c r="E15" s="64"/>
      <c r="F15" s="48"/>
      <c r="G15" s="67"/>
      <c r="H15" s="61"/>
      <c r="I15" s="61"/>
      <c r="J15" s="48"/>
      <c r="K15" s="48"/>
      <c r="L15" s="48"/>
      <c r="M15" s="51"/>
      <c r="N15" s="51"/>
      <c r="O15" s="48"/>
      <c r="P15" s="44"/>
      <c r="Q15" s="44"/>
      <c r="R15" s="44"/>
      <c r="S15" s="14" t="s">
        <v>99</v>
      </c>
      <c r="T15" s="15" t="s">
        <v>32</v>
      </c>
      <c r="U15" s="15" t="s">
        <v>190</v>
      </c>
      <c r="V15" s="14" t="s">
        <v>137</v>
      </c>
      <c r="W15" s="42"/>
      <c r="X15" s="27"/>
      <c r="Y15" s="28"/>
    </row>
    <row r="16" spans="1:25" ht="58" customHeight="1" x14ac:dyDescent="0.35">
      <c r="A16" s="84">
        <v>3</v>
      </c>
      <c r="B16" s="87" t="s">
        <v>7</v>
      </c>
      <c r="C16" s="90" t="s">
        <v>38</v>
      </c>
      <c r="D16" s="93">
        <v>45897</v>
      </c>
      <c r="E16" s="93">
        <v>45917</v>
      </c>
      <c r="F16" s="96" t="s">
        <v>148</v>
      </c>
      <c r="G16" s="90" t="s">
        <v>150</v>
      </c>
      <c r="H16" s="96" t="s">
        <v>46</v>
      </c>
      <c r="I16" s="96" t="s">
        <v>134</v>
      </c>
      <c r="J16" s="84">
        <v>10200</v>
      </c>
      <c r="K16" s="84">
        <v>10200</v>
      </c>
      <c r="L16" s="84" t="s">
        <v>201</v>
      </c>
      <c r="M16" s="99">
        <v>10200</v>
      </c>
      <c r="N16" s="99">
        <v>7202</v>
      </c>
      <c r="O16" s="46" t="str">
        <f>IF(M16 &gt; N16, "Profit", "Loss")</f>
        <v>Profit</v>
      </c>
      <c r="P16" s="14" t="s">
        <v>48</v>
      </c>
      <c r="Q16" s="14" t="s">
        <v>32</v>
      </c>
      <c r="R16" s="14" t="s">
        <v>137</v>
      </c>
      <c r="S16" s="14" t="s">
        <v>96</v>
      </c>
      <c r="T16" s="15" t="s">
        <v>175</v>
      </c>
      <c r="U16" s="15" t="s">
        <v>195</v>
      </c>
      <c r="V16" s="14" t="s">
        <v>137</v>
      </c>
      <c r="W16" s="30">
        <v>4000</v>
      </c>
      <c r="X16" s="68" t="s">
        <v>134</v>
      </c>
      <c r="Y16" s="71" t="s">
        <v>140</v>
      </c>
    </row>
    <row r="17" spans="1:25" ht="52" customHeight="1" x14ac:dyDescent="0.35">
      <c r="A17" s="85"/>
      <c r="B17" s="88"/>
      <c r="C17" s="91"/>
      <c r="D17" s="94"/>
      <c r="E17" s="94"/>
      <c r="F17" s="97"/>
      <c r="G17" s="97"/>
      <c r="H17" s="97"/>
      <c r="I17" s="97"/>
      <c r="J17" s="85"/>
      <c r="K17" s="85"/>
      <c r="L17" s="85"/>
      <c r="M17" s="100"/>
      <c r="N17" s="100"/>
      <c r="O17" s="47"/>
      <c r="P17" s="14" t="s">
        <v>49</v>
      </c>
      <c r="Q17" s="15" t="s">
        <v>26</v>
      </c>
      <c r="R17" s="14" t="s">
        <v>137</v>
      </c>
      <c r="S17" s="14" t="s">
        <v>100</v>
      </c>
      <c r="T17" s="15" t="s">
        <v>160</v>
      </c>
      <c r="U17" s="15">
        <v>1442</v>
      </c>
      <c r="V17" s="14" t="s">
        <v>201</v>
      </c>
      <c r="W17" s="30">
        <v>2200</v>
      </c>
      <c r="X17" s="69"/>
      <c r="Y17" s="72"/>
    </row>
    <row r="18" spans="1:25" ht="52" customHeight="1" x14ac:dyDescent="0.35">
      <c r="A18" s="85"/>
      <c r="B18" s="88"/>
      <c r="C18" s="91"/>
      <c r="D18" s="94"/>
      <c r="E18" s="94"/>
      <c r="F18" s="97"/>
      <c r="G18" s="97"/>
      <c r="H18" s="97"/>
      <c r="I18" s="97"/>
      <c r="J18" s="85"/>
      <c r="K18" s="85"/>
      <c r="L18" s="85"/>
      <c r="M18" s="100"/>
      <c r="N18" s="100"/>
      <c r="O18" s="47"/>
      <c r="P18" s="41" t="s">
        <v>50</v>
      </c>
      <c r="Q18" s="37" t="s">
        <v>32</v>
      </c>
      <c r="R18" s="37" t="s">
        <v>137</v>
      </c>
      <c r="S18" s="14" t="s">
        <v>99</v>
      </c>
      <c r="T18" s="15" t="s">
        <v>32</v>
      </c>
      <c r="U18" s="15" t="s">
        <v>190</v>
      </c>
      <c r="V18" s="14" t="s">
        <v>137</v>
      </c>
      <c r="W18" s="37">
        <v>2000</v>
      </c>
      <c r="X18" s="69"/>
      <c r="Y18" s="72"/>
    </row>
    <row r="19" spans="1:25" ht="45.5" customHeight="1" x14ac:dyDescent="0.35">
      <c r="A19" s="85"/>
      <c r="B19" s="88"/>
      <c r="C19" s="91"/>
      <c r="D19" s="94"/>
      <c r="E19" s="94"/>
      <c r="F19" s="97"/>
      <c r="G19" s="97"/>
      <c r="H19" s="97"/>
      <c r="I19" s="97"/>
      <c r="J19" s="85"/>
      <c r="K19" s="85"/>
      <c r="L19" s="85"/>
      <c r="M19" s="100"/>
      <c r="N19" s="100"/>
      <c r="O19" s="47"/>
      <c r="P19" s="42"/>
      <c r="Q19" s="38"/>
      <c r="R19" s="38"/>
      <c r="S19" s="14" t="s">
        <v>100</v>
      </c>
      <c r="T19" s="15" t="s">
        <v>214</v>
      </c>
      <c r="U19" s="15">
        <v>1500</v>
      </c>
      <c r="V19" s="14" t="s">
        <v>201</v>
      </c>
      <c r="W19" s="38"/>
      <c r="X19" s="69"/>
      <c r="Y19" s="72"/>
    </row>
    <row r="20" spans="1:25" ht="45.5" customHeight="1" x14ac:dyDescent="0.35">
      <c r="A20" s="85"/>
      <c r="B20" s="88"/>
      <c r="C20" s="91"/>
      <c r="D20" s="94"/>
      <c r="E20" s="94"/>
      <c r="F20" s="97"/>
      <c r="G20" s="97"/>
      <c r="H20" s="97"/>
      <c r="I20" s="97"/>
      <c r="J20" s="85"/>
      <c r="K20" s="85"/>
      <c r="L20" s="85"/>
      <c r="M20" s="100"/>
      <c r="N20" s="100"/>
      <c r="O20" s="47"/>
      <c r="P20" s="37" t="s">
        <v>213</v>
      </c>
      <c r="Q20" s="37" t="s">
        <v>32</v>
      </c>
      <c r="R20" s="39" t="s">
        <v>137</v>
      </c>
      <c r="S20" s="14" t="s">
        <v>99</v>
      </c>
      <c r="T20" s="15" t="s">
        <v>30</v>
      </c>
      <c r="U20" s="15" t="s">
        <v>188</v>
      </c>
      <c r="V20" s="14" t="s">
        <v>137</v>
      </c>
      <c r="W20" s="37">
        <v>1330</v>
      </c>
      <c r="X20" s="69"/>
      <c r="Y20" s="72"/>
    </row>
    <row r="21" spans="1:25" ht="45.5" customHeight="1" x14ac:dyDescent="0.35">
      <c r="A21" s="85"/>
      <c r="B21" s="88"/>
      <c r="C21" s="91"/>
      <c r="D21" s="94"/>
      <c r="E21" s="94"/>
      <c r="F21" s="97"/>
      <c r="G21" s="97"/>
      <c r="H21" s="97"/>
      <c r="I21" s="97"/>
      <c r="J21" s="85"/>
      <c r="K21" s="85"/>
      <c r="L21" s="85"/>
      <c r="M21" s="100"/>
      <c r="N21" s="100"/>
      <c r="O21" s="47"/>
      <c r="P21" s="38"/>
      <c r="Q21" s="38"/>
      <c r="R21" s="40"/>
      <c r="S21" s="14" t="s">
        <v>99</v>
      </c>
      <c r="T21" s="15" t="s">
        <v>32</v>
      </c>
      <c r="U21" s="15" t="s">
        <v>190</v>
      </c>
      <c r="V21" s="14" t="s">
        <v>137</v>
      </c>
      <c r="W21" s="38"/>
      <c r="X21" s="69"/>
      <c r="Y21" s="72"/>
    </row>
    <row r="22" spans="1:25" ht="45.5" customHeight="1" x14ac:dyDescent="0.35">
      <c r="A22" s="85"/>
      <c r="B22" s="88"/>
      <c r="C22" s="91"/>
      <c r="D22" s="94"/>
      <c r="E22" s="94"/>
      <c r="F22" s="97"/>
      <c r="G22" s="97"/>
      <c r="H22" s="97"/>
      <c r="I22" s="97"/>
      <c r="J22" s="85"/>
      <c r="K22" s="85"/>
      <c r="L22" s="85"/>
      <c r="M22" s="100"/>
      <c r="N22" s="100"/>
      <c r="O22" s="47"/>
      <c r="P22" s="39" t="s">
        <v>210</v>
      </c>
      <c r="Q22" s="37" t="s">
        <v>32</v>
      </c>
      <c r="R22" s="37" t="s">
        <v>137</v>
      </c>
      <c r="S22" s="14" t="s">
        <v>99</v>
      </c>
      <c r="T22" s="15" t="s">
        <v>32</v>
      </c>
      <c r="U22" s="15" t="s">
        <v>190</v>
      </c>
      <c r="V22" s="14" t="s">
        <v>137</v>
      </c>
      <c r="W22" s="31">
        <v>1730</v>
      </c>
      <c r="X22" s="69"/>
      <c r="Y22" s="72"/>
    </row>
    <row r="23" spans="1:25" ht="66" customHeight="1" x14ac:dyDescent="0.35">
      <c r="A23" s="86"/>
      <c r="B23" s="89"/>
      <c r="C23" s="92"/>
      <c r="D23" s="95"/>
      <c r="E23" s="95"/>
      <c r="F23" s="98"/>
      <c r="G23" s="98"/>
      <c r="H23" s="98"/>
      <c r="I23" s="98"/>
      <c r="J23" s="86"/>
      <c r="K23" s="86"/>
      <c r="L23" s="86"/>
      <c r="M23" s="101"/>
      <c r="N23" s="101"/>
      <c r="O23" s="48"/>
      <c r="P23" s="40"/>
      <c r="Q23" s="38"/>
      <c r="R23" s="38"/>
      <c r="S23" s="14" t="s">
        <v>99</v>
      </c>
      <c r="T23" s="15" t="s">
        <v>70</v>
      </c>
      <c r="U23" s="15" t="s">
        <v>189</v>
      </c>
      <c r="V23" s="14" t="s">
        <v>137</v>
      </c>
      <c r="W23" s="31">
        <v>1200</v>
      </c>
      <c r="X23" s="70"/>
      <c r="Y23" s="73"/>
    </row>
    <row r="24" spans="1:25" x14ac:dyDescent="0.35">
      <c r="A24" s="84">
        <v>4</v>
      </c>
      <c r="B24" s="87" t="s">
        <v>8</v>
      </c>
      <c r="C24" s="90" t="s">
        <v>39</v>
      </c>
      <c r="D24" s="93">
        <v>45897</v>
      </c>
      <c r="E24" s="93">
        <v>45942</v>
      </c>
      <c r="F24" s="96" t="s">
        <v>40</v>
      </c>
      <c r="G24" s="90" t="s">
        <v>150</v>
      </c>
      <c r="H24" s="78" t="s">
        <v>27</v>
      </c>
      <c r="I24" s="78" t="s">
        <v>47</v>
      </c>
      <c r="J24" s="81"/>
      <c r="K24" s="81"/>
      <c r="L24" s="84"/>
      <c r="M24" s="49"/>
      <c r="N24" s="49"/>
      <c r="O24" s="46"/>
      <c r="P24" s="14" t="s">
        <v>41</v>
      </c>
      <c r="Q24" s="14"/>
      <c r="R24" s="14"/>
      <c r="S24" s="14"/>
      <c r="T24" s="15"/>
      <c r="U24" s="15"/>
      <c r="V24" s="14" t="s">
        <v>137</v>
      </c>
      <c r="W24" s="37"/>
      <c r="X24" s="75" t="s">
        <v>133</v>
      </c>
      <c r="Y24" s="75"/>
    </row>
    <row r="25" spans="1:25" x14ac:dyDescent="0.35">
      <c r="A25" s="85"/>
      <c r="B25" s="88"/>
      <c r="C25" s="91"/>
      <c r="D25" s="94"/>
      <c r="E25" s="94"/>
      <c r="F25" s="97"/>
      <c r="G25" s="97"/>
      <c r="H25" s="79"/>
      <c r="I25" s="79"/>
      <c r="J25" s="82"/>
      <c r="K25" s="82"/>
      <c r="L25" s="85"/>
      <c r="M25" s="50"/>
      <c r="N25" s="50"/>
      <c r="O25" s="47"/>
      <c r="P25" s="14" t="s">
        <v>42</v>
      </c>
      <c r="Q25" s="14"/>
      <c r="R25" s="14"/>
      <c r="S25" s="14"/>
      <c r="T25" s="15"/>
      <c r="U25" s="15"/>
      <c r="V25" s="14" t="s">
        <v>180</v>
      </c>
      <c r="W25" s="55"/>
      <c r="X25" s="76"/>
      <c r="Y25" s="76"/>
    </row>
    <row r="26" spans="1:25" x14ac:dyDescent="0.35">
      <c r="A26" s="86"/>
      <c r="B26" s="89"/>
      <c r="C26" s="92"/>
      <c r="D26" s="95"/>
      <c r="E26" s="95"/>
      <c r="F26" s="98"/>
      <c r="G26" s="98"/>
      <c r="H26" s="80"/>
      <c r="I26" s="80"/>
      <c r="J26" s="83"/>
      <c r="K26" s="83"/>
      <c r="L26" s="86"/>
      <c r="M26" s="51"/>
      <c r="N26" s="51"/>
      <c r="O26" s="48"/>
      <c r="P26" s="14" t="s">
        <v>43</v>
      </c>
      <c r="Q26" s="14"/>
      <c r="R26" s="14"/>
      <c r="S26" s="14"/>
      <c r="T26" s="15"/>
      <c r="U26" s="15"/>
      <c r="V26" s="14" t="s">
        <v>136</v>
      </c>
      <c r="W26" s="38"/>
      <c r="X26" s="77"/>
      <c r="Y26" s="77"/>
    </row>
    <row r="27" spans="1:25" ht="29" x14ac:dyDescent="0.35">
      <c r="A27" s="1">
        <v>5</v>
      </c>
      <c r="B27" s="16" t="s">
        <v>130</v>
      </c>
      <c r="C27" s="5" t="s">
        <v>131</v>
      </c>
      <c r="D27" s="6">
        <v>45921</v>
      </c>
      <c r="E27" s="1" t="s">
        <v>129</v>
      </c>
      <c r="F27" s="1"/>
      <c r="G27" s="5" t="s">
        <v>150</v>
      </c>
      <c r="H27" s="1" t="s">
        <v>27</v>
      </c>
      <c r="I27" s="1" t="s">
        <v>151</v>
      </c>
      <c r="J27" s="1"/>
      <c r="K27" s="1"/>
      <c r="L27" s="10"/>
      <c r="M27" s="12"/>
      <c r="N27" s="12"/>
      <c r="O27" s="1"/>
      <c r="P27" s="14"/>
      <c r="Q27" s="14"/>
      <c r="R27" s="14"/>
      <c r="S27" s="14"/>
      <c r="T27" s="15"/>
      <c r="U27" s="15"/>
      <c r="V27" s="14" t="s">
        <v>136</v>
      </c>
      <c r="W27" s="30"/>
      <c r="X27" s="22" t="s">
        <v>133</v>
      </c>
      <c r="Y27" s="22"/>
    </row>
    <row r="28" spans="1:25" x14ac:dyDescent="0.35">
      <c r="A28" s="1"/>
      <c r="B28" s="16"/>
      <c r="C28" s="5"/>
      <c r="D28" s="1"/>
      <c r="E28" s="1"/>
      <c r="F28" s="1"/>
      <c r="G28" s="1"/>
      <c r="H28" s="1"/>
      <c r="I28" s="1"/>
      <c r="J28" s="1"/>
      <c r="K28" s="1"/>
      <c r="L28" s="10"/>
      <c r="M28" s="12"/>
      <c r="N28" s="12"/>
      <c r="O28" s="1"/>
      <c r="P28" s="14"/>
      <c r="Q28" s="14"/>
      <c r="R28" s="14"/>
      <c r="S28" s="14"/>
      <c r="T28" s="15"/>
      <c r="U28" s="15"/>
      <c r="V28" s="14"/>
      <c r="W28" s="30"/>
      <c r="X28" s="22"/>
      <c r="Y28" s="22"/>
    </row>
    <row r="29" spans="1:25" x14ac:dyDescent="0.35">
      <c r="A29" s="1"/>
      <c r="B29" s="16"/>
      <c r="C29" s="5"/>
      <c r="D29" s="1"/>
      <c r="E29" s="1"/>
      <c r="F29" s="1"/>
      <c r="G29" s="1"/>
      <c r="H29" s="1"/>
      <c r="I29" s="1"/>
      <c r="J29" s="1"/>
      <c r="K29" s="1"/>
      <c r="L29" s="10"/>
      <c r="M29" s="12"/>
      <c r="N29" s="12"/>
      <c r="O29" s="1"/>
      <c r="P29" s="14"/>
      <c r="Q29" s="14"/>
      <c r="R29" s="14"/>
      <c r="S29" s="14"/>
      <c r="T29" s="15"/>
      <c r="U29" s="15"/>
      <c r="V29" s="14"/>
      <c r="W29" s="30"/>
      <c r="X29" s="22"/>
      <c r="Y29" s="22"/>
    </row>
    <row r="30" spans="1:25" x14ac:dyDescent="0.35">
      <c r="A30" s="1"/>
      <c r="B30" s="16"/>
      <c r="C30" s="5"/>
      <c r="D30" s="1"/>
      <c r="E30" s="1"/>
      <c r="F30" s="1"/>
      <c r="G30" s="1"/>
      <c r="H30" s="1"/>
      <c r="I30" s="1"/>
      <c r="J30" s="1"/>
      <c r="K30" s="1"/>
      <c r="L30" s="10"/>
      <c r="M30" s="12"/>
      <c r="N30" s="12"/>
      <c r="O30" s="1"/>
      <c r="P30" s="14"/>
      <c r="Q30" s="14"/>
      <c r="R30" s="14"/>
      <c r="S30" s="14"/>
      <c r="T30" s="15"/>
      <c r="U30" s="15"/>
      <c r="V30" s="14"/>
      <c r="W30" s="30"/>
      <c r="X30" s="22"/>
      <c r="Y30" s="22"/>
    </row>
    <row r="31" spans="1:25" x14ac:dyDescent="0.35">
      <c r="A31" s="1"/>
      <c r="B31" s="16"/>
      <c r="C31" s="5"/>
      <c r="D31" s="1"/>
      <c r="E31" s="1"/>
      <c r="F31" s="1"/>
      <c r="G31" s="1"/>
      <c r="H31" s="1"/>
      <c r="I31" s="1"/>
      <c r="J31" s="1"/>
      <c r="K31" s="1"/>
      <c r="L31" s="10"/>
      <c r="M31" s="12"/>
      <c r="N31" s="12"/>
      <c r="O31" s="1"/>
      <c r="P31" s="14"/>
      <c r="Q31" s="14"/>
      <c r="R31" s="14"/>
      <c r="S31" s="14"/>
      <c r="T31" s="15"/>
      <c r="U31" s="15"/>
      <c r="V31" s="14"/>
      <c r="W31" s="30"/>
      <c r="X31" s="22"/>
      <c r="Y31" s="22"/>
    </row>
    <row r="32" spans="1:25" x14ac:dyDescent="0.35">
      <c r="A32" s="1"/>
      <c r="B32" s="16"/>
      <c r="C32" s="5"/>
      <c r="D32" s="1"/>
      <c r="E32" s="1"/>
      <c r="F32" s="1"/>
      <c r="G32" s="1"/>
      <c r="H32" s="1"/>
      <c r="I32" s="1"/>
      <c r="J32" s="1"/>
      <c r="K32" s="1"/>
      <c r="L32" s="10"/>
      <c r="M32" s="12"/>
      <c r="N32" s="12"/>
      <c r="O32" s="1"/>
      <c r="P32" s="14"/>
      <c r="Q32" s="14"/>
      <c r="R32" s="14"/>
      <c r="S32" s="14"/>
      <c r="T32" s="15"/>
      <c r="U32" s="15"/>
      <c r="V32" s="14"/>
      <c r="W32" s="30"/>
      <c r="X32" s="22"/>
      <c r="Y32" s="22"/>
    </row>
    <row r="33" spans="1:25" x14ac:dyDescent="0.35">
      <c r="A33" s="1"/>
      <c r="B33" s="16"/>
      <c r="C33" s="5"/>
      <c r="D33" s="1"/>
      <c r="E33" s="1"/>
      <c r="F33" s="1"/>
      <c r="G33" s="1"/>
      <c r="H33" s="1"/>
      <c r="I33" s="1"/>
      <c r="J33" s="1"/>
      <c r="K33" s="1"/>
      <c r="L33" s="10"/>
      <c r="M33" s="12"/>
      <c r="N33" s="12"/>
      <c r="O33" s="1"/>
      <c r="P33" s="14"/>
      <c r="Q33" s="14"/>
      <c r="R33" s="14"/>
      <c r="S33" s="14"/>
      <c r="T33" s="15"/>
      <c r="U33" s="15"/>
      <c r="V33" s="14"/>
      <c r="W33" s="30"/>
      <c r="X33" s="22"/>
      <c r="Y33" s="22"/>
    </row>
    <row r="34" spans="1:25" x14ac:dyDescent="0.35">
      <c r="A34" s="1"/>
      <c r="B34" s="16"/>
      <c r="C34" s="5"/>
      <c r="D34" s="1"/>
      <c r="E34" s="1"/>
      <c r="F34" s="1"/>
      <c r="G34" s="1"/>
      <c r="H34" s="1"/>
      <c r="I34" s="1"/>
      <c r="J34" s="1"/>
      <c r="K34" s="1"/>
      <c r="L34" s="10"/>
      <c r="M34" s="12"/>
      <c r="N34" s="12"/>
      <c r="O34" s="1"/>
      <c r="P34" s="14"/>
      <c r="Q34" s="14"/>
      <c r="R34" s="14"/>
      <c r="S34" s="14"/>
      <c r="T34" s="15"/>
      <c r="U34" s="15"/>
      <c r="V34" s="14"/>
      <c r="W34" s="30"/>
      <c r="X34" s="22"/>
      <c r="Y34" s="22"/>
    </row>
    <row r="35" spans="1:25" x14ac:dyDescent="0.35">
      <c r="A35" s="1"/>
      <c r="B35" s="16"/>
      <c r="C35" s="5"/>
      <c r="D35" s="1"/>
      <c r="E35" s="1"/>
      <c r="F35" s="1"/>
      <c r="G35" s="1"/>
      <c r="H35" s="1"/>
      <c r="I35" s="1"/>
      <c r="J35" s="1"/>
      <c r="K35" s="1"/>
      <c r="L35" s="10"/>
      <c r="M35" s="12"/>
      <c r="N35" s="12"/>
      <c r="O35" s="1"/>
      <c r="P35" s="14"/>
      <c r="Q35" s="14"/>
      <c r="R35" s="14"/>
      <c r="S35" s="14"/>
      <c r="T35" s="15"/>
      <c r="U35" s="15"/>
      <c r="V35" s="14"/>
      <c r="W35" s="30"/>
      <c r="X35" s="22"/>
      <c r="Y35" s="22"/>
    </row>
    <row r="36" spans="1:25" x14ac:dyDescent="0.35">
      <c r="A36" s="1"/>
      <c r="B36" s="16"/>
      <c r="C36" s="5"/>
      <c r="D36" s="1"/>
      <c r="E36" s="1"/>
      <c r="F36" s="1"/>
      <c r="G36" s="1"/>
      <c r="H36" s="1"/>
      <c r="I36" s="1"/>
      <c r="J36" s="1"/>
      <c r="K36" s="1"/>
      <c r="L36" s="10"/>
      <c r="M36" s="12"/>
      <c r="N36" s="12"/>
      <c r="O36" s="1"/>
      <c r="P36" s="14"/>
      <c r="Q36" s="14"/>
      <c r="R36" s="14"/>
      <c r="S36" s="14"/>
      <c r="T36" s="15"/>
      <c r="U36" s="15"/>
      <c r="V36" s="14"/>
      <c r="W36" s="30"/>
      <c r="X36" s="22"/>
      <c r="Y36" s="22"/>
    </row>
    <row r="37" spans="1:25" x14ac:dyDescent="0.35">
      <c r="A37" s="1"/>
      <c r="B37" s="16"/>
      <c r="C37" s="5"/>
      <c r="D37" s="1"/>
      <c r="E37" s="1"/>
      <c r="F37" s="1"/>
      <c r="G37" s="1"/>
      <c r="H37" s="1"/>
      <c r="I37" s="1"/>
      <c r="J37" s="1"/>
      <c r="K37" s="1"/>
      <c r="L37" s="10"/>
      <c r="M37" s="12"/>
      <c r="N37" s="12"/>
      <c r="O37" s="1"/>
      <c r="P37" s="14"/>
      <c r="Q37" s="14"/>
      <c r="R37" s="14"/>
      <c r="S37" s="14"/>
      <c r="T37" s="15"/>
      <c r="U37" s="15"/>
      <c r="V37" s="14"/>
      <c r="W37" s="30"/>
      <c r="X37" s="22"/>
      <c r="Y37" s="22"/>
    </row>
    <row r="38" spans="1:25" x14ac:dyDescent="0.35">
      <c r="A38" s="1"/>
      <c r="B38" s="16"/>
      <c r="C38" s="5"/>
      <c r="D38" s="1"/>
      <c r="E38" s="1"/>
      <c r="F38" s="1"/>
      <c r="G38" s="1"/>
      <c r="H38" s="1"/>
      <c r="I38" s="1"/>
      <c r="J38" s="1"/>
      <c r="K38" s="1"/>
      <c r="L38" s="10"/>
      <c r="M38" s="12"/>
      <c r="N38" s="12"/>
      <c r="O38" s="1"/>
      <c r="P38" s="14"/>
      <c r="Q38" s="14"/>
      <c r="R38" s="14"/>
      <c r="S38" s="14"/>
      <c r="T38" s="15"/>
      <c r="U38" s="15"/>
      <c r="V38" s="14"/>
      <c r="W38" s="30"/>
      <c r="X38" s="22"/>
      <c r="Y38" s="22"/>
    </row>
    <row r="39" spans="1:25" x14ac:dyDescent="0.35">
      <c r="A39" s="1"/>
      <c r="B39" s="16"/>
      <c r="C39" s="5"/>
      <c r="D39" s="1"/>
      <c r="E39" s="1"/>
      <c r="F39" s="1"/>
      <c r="G39" s="1"/>
      <c r="H39" s="1"/>
      <c r="I39" s="1"/>
      <c r="J39" s="1"/>
      <c r="K39" s="1"/>
      <c r="L39" s="10"/>
      <c r="M39" s="12"/>
      <c r="N39" s="12"/>
      <c r="O39" s="1"/>
      <c r="P39" s="14"/>
      <c r="Q39" s="14"/>
      <c r="R39" s="14"/>
      <c r="S39" s="14"/>
      <c r="T39" s="15"/>
      <c r="U39" s="15"/>
      <c r="V39" s="14"/>
      <c r="W39" s="30"/>
      <c r="X39" s="22"/>
      <c r="Y39" s="22"/>
    </row>
    <row r="40" spans="1:25" x14ac:dyDescent="0.35">
      <c r="A40" s="1"/>
      <c r="B40" s="16"/>
      <c r="C40" s="5"/>
      <c r="D40" s="1"/>
      <c r="E40" s="1"/>
      <c r="F40" s="1"/>
      <c r="G40" s="1"/>
      <c r="H40" s="1"/>
      <c r="I40" s="1"/>
      <c r="J40" s="1"/>
      <c r="K40" s="1"/>
      <c r="L40" s="10"/>
      <c r="M40" s="12"/>
      <c r="N40" s="12"/>
      <c r="O40" s="1"/>
      <c r="P40" s="14"/>
      <c r="Q40" s="14"/>
      <c r="R40" s="14"/>
      <c r="S40" s="14"/>
      <c r="T40" s="15"/>
      <c r="U40" s="15"/>
      <c r="V40" s="14"/>
      <c r="W40" s="30"/>
      <c r="X40" s="22"/>
      <c r="Y40" s="22"/>
    </row>
    <row r="41" spans="1:25" x14ac:dyDescent="0.35">
      <c r="A41" s="1"/>
      <c r="B41" s="16"/>
      <c r="C41" s="5"/>
      <c r="D41" s="1"/>
      <c r="E41" s="1"/>
      <c r="F41" s="1"/>
      <c r="G41" s="1"/>
      <c r="H41" s="1"/>
      <c r="I41" s="1"/>
      <c r="J41" s="1"/>
      <c r="K41" s="1"/>
      <c r="L41" s="10"/>
      <c r="M41" s="12"/>
      <c r="N41" s="12"/>
      <c r="O41" s="1"/>
      <c r="P41" s="14"/>
      <c r="Q41" s="14"/>
      <c r="R41" s="14"/>
      <c r="S41" s="14"/>
      <c r="T41" s="15"/>
      <c r="U41" s="15"/>
      <c r="V41" s="14"/>
      <c r="W41" s="30"/>
      <c r="X41" s="22"/>
      <c r="Y41" s="22"/>
    </row>
    <row r="42" spans="1:25" x14ac:dyDescent="0.35">
      <c r="A42" s="1"/>
      <c r="B42" s="16"/>
      <c r="C42" s="5"/>
      <c r="D42" s="1"/>
      <c r="E42" s="1"/>
      <c r="F42" s="1"/>
      <c r="G42" s="1"/>
      <c r="H42" s="1"/>
      <c r="I42" s="1"/>
      <c r="J42" s="1"/>
      <c r="K42" s="1"/>
      <c r="L42" s="10"/>
      <c r="M42" s="12"/>
      <c r="N42" s="12"/>
      <c r="O42" s="1"/>
      <c r="P42" s="14"/>
      <c r="Q42" s="14"/>
      <c r="R42" s="14"/>
      <c r="S42" s="14"/>
      <c r="T42" s="15"/>
      <c r="U42" s="15"/>
      <c r="V42" s="14"/>
      <c r="W42" s="30"/>
      <c r="X42" s="22"/>
      <c r="Y42" s="22"/>
    </row>
    <row r="43" spans="1:25" x14ac:dyDescent="0.35">
      <c r="A43" s="1"/>
      <c r="B43" s="16"/>
      <c r="C43" s="5"/>
      <c r="D43" s="1"/>
      <c r="E43" s="1"/>
      <c r="F43" s="1"/>
      <c r="G43" s="1"/>
      <c r="H43" s="1"/>
      <c r="I43" s="1"/>
      <c r="J43" s="1"/>
      <c r="K43" s="1"/>
      <c r="L43" s="10"/>
      <c r="M43" s="12"/>
      <c r="N43" s="12"/>
      <c r="O43" s="1"/>
      <c r="P43" s="14"/>
      <c r="Q43" s="14"/>
      <c r="R43" s="14"/>
      <c r="S43" s="14"/>
      <c r="T43" s="15"/>
      <c r="U43" s="15"/>
      <c r="V43" s="14"/>
      <c r="W43" s="30"/>
      <c r="X43" s="22"/>
      <c r="Y43" s="22"/>
    </row>
    <row r="44" spans="1:25" x14ac:dyDescent="0.35">
      <c r="A44" s="1"/>
      <c r="B44" s="16"/>
      <c r="C44" s="5"/>
      <c r="D44" s="1"/>
      <c r="E44" s="1"/>
      <c r="F44" s="1"/>
      <c r="G44" s="1"/>
      <c r="H44" s="1"/>
      <c r="I44" s="1"/>
      <c r="J44" s="1"/>
      <c r="K44" s="1"/>
      <c r="L44" s="10"/>
      <c r="M44" s="12"/>
      <c r="N44" s="12"/>
      <c r="O44" s="1"/>
      <c r="P44" s="14"/>
      <c r="Q44" s="14"/>
      <c r="R44" s="14"/>
      <c r="S44" s="14"/>
      <c r="T44" s="15"/>
      <c r="U44" s="15"/>
      <c r="V44" s="14"/>
      <c r="W44" s="30"/>
      <c r="X44" s="22"/>
      <c r="Y44" s="22"/>
    </row>
    <row r="45" spans="1:25" x14ac:dyDescent="0.35">
      <c r="A45" s="1"/>
      <c r="B45" s="16"/>
      <c r="C45" s="5"/>
      <c r="D45" s="1"/>
      <c r="E45" s="1"/>
      <c r="F45" s="1"/>
      <c r="G45" s="1"/>
      <c r="H45" s="1"/>
      <c r="I45" s="1"/>
      <c r="J45" s="1"/>
      <c r="K45" s="1"/>
      <c r="L45" s="10"/>
      <c r="M45" s="12"/>
      <c r="N45" s="12"/>
      <c r="O45" s="1"/>
      <c r="P45" s="14"/>
      <c r="Q45" s="14"/>
      <c r="R45" s="14"/>
      <c r="S45" s="14"/>
      <c r="T45" s="15"/>
      <c r="U45" s="15"/>
      <c r="V45" s="14"/>
      <c r="W45" s="30"/>
      <c r="X45" s="22"/>
      <c r="Y45" s="22"/>
    </row>
    <row r="46" spans="1:25" x14ac:dyDescent="0.35">
      <c r="A46" s="1"/>
      <c r="B46" s="16"/>
      <c r="C46" s="5"/>
      <c r="D46" s="1"/>
      <c r="E46" s="1"/>
      <c r="F46" s="1"/>
      <c r="G46" s="1"/>
      <c r="H46" s="1"/>
      <c r="I46" s="1"/>
      <c r="J46" s="1"/>
      <c r="K46" s="1"/>
      <c r="L46" s="10"/>
      <c r="M46" s="12"/>
      <c r="N46" s="12"/>
      <c r="O46" s="1"/>
      <c r="P46" s="14"/>
      <c r="Q46" s="14"/>
      <c r="R46" s="14"/>
      <c r="S46" s="14"/>
      <c r="T46" s="15"/>
      <c r="U46" s="15"/>
      <c r="V46" s="14"/>
      <c r="W46" s="30"/>
      <c r="X46" s="22"/>
      <c r="Y46" s="22"/>
    </row>
    <row r="47" spans="1:25" x14ac:dyDescent="0.35">
      <c r="A47" s="1"/>
      <c r="B47" s="16"/>
      <c r="C47" s="5"/>
      <c r="D47" s="1"/>
      <c r="E47" s="1"/>
      <c r="F47" s="1"/>
      <c r="G47" s="1"/>
      <c r="H47" s="1"/>
      <c r="I47" s="1"/>
      <c r="J47" s="1"/>
      <c r="K47" s="1"/>
      <c r="L47" s="10"/>
      <c r="M47" s="12"/>
      <c r="N47" s="12"/>
      <c r="O47" s="1"/>
      <c r="P47" s="14"/>
      <c r="Q47" s="14"/>
      <c r="R47" s="14"/>
      <c r="S47" s="14"/>
      <c r="T47" s="15"/>
      <c r="U47" s="15"/>
      <c r="V47" s="14"/>
      <c r="W47" s="30"/>
      <c r="X47" s="22"/>
      <c r="Y47" s="22"/>
    </row>
    <row r="48" spans="1:25" x14ac:dyDescent="0.35">
      <c r="A48" s="1"/>
      <c r="B48" s="16"/>
      <c r="C48" s="5"/>
      <c r="D48" s="1"/>
      <c r="E48" s="1"/>
      <c r="F48" s="1"/>
      <c r="G48" s="1"/>
      <c r="H48" s="1"/>
      <c r="I48" s="1"/>
      <c r="J48" s="1"/>
      <c r="K48" s="1"/>
      <c r="L48" s="10"/>
      <c r="M48" s="12"/>
      <c r="N48" s="12"/>
      <c r="O48" s="1"/>
      <c r="P48" s="14"/>
      <c r="Q48" s="14"/>
      <c r="R48" s="14"/>
      <c r="S48" s="14"/>
      <c r="T48" s="15"/>
      <c r="U48" s="15"/>
      <c r="V48" s="14"/>
      <c r="W48" s="30"/>
      <c r="X48" s="22"/>
      <c r="Y48" s="22"/>
    </row>
    <row r="49" spans="1:25" x14ac:dyDescent="0.35">
      <c r="A49" s="1"/>
      <c r="B49" s="16"/>
      <c r="C49" s="5"/>
      <c r="D49" s="1"/>
      <c r="E49" s="1"/>
      <c r="F49" s="1"/>
      <c r="G49" s="1"/>
      <c r="H49" s="1"/>
      <c r="I49" s="1"/>
      <c r="J49" s="1"/>
      <c r="K49" s="1"/>
      <c r="L49" s="10"/>
      <c r="M49" s="12"/>
      <c r="N49" s="12"/>
      <c r="O49" s="1"/>
      <c r="P49" s="14"/>
      <c r="Q49" s="14"/>
      <c r="R49" s="14"/>
      <c r="S49" s="14"/>
      <c r="T49" s="15"/>
      <c r="U49" s="15"/>
      <c r="V49" s="14"/>
      <c r="W49" s="30"/>
      <c r="X49" s="22"/>
      <c r="Y49" s="22"/>
    </row>
    <row r="50" spans="1:25" x14ac:dyDescent="0.35">
      <c r="A50" s="1"/>
      <c r="B50" s="16"/>
      <c r="C50" s="5"/>
      <c r="D50" s="1"/>
      <c r="E50" s="1"/>
      <c r="F50" s="1"/>
      <c r="G50" s="1"/>
      <c r="H50" s="1"/>
      <c r="I50" s="1"/>
      <c r="J50" s="1"/>
      <c r="K50" s="1"/>
      <c r="L50" s="10"/>
      <c r="M50" s="12"/>
      <c r="N50" s="12"/>
      <c r="O50" s="1"/>
      <c r="P50" s="14"/>
      <c r="Q50" s="14"/>
      <c r="R50" s="14"/>
      <c r="S50" s="14"/>
      <c r="T50" s="15"/>
      <c r="U50" s="15"/>
      <c r="V50" s="14"/>
      <c r="W50" s="30"/>
      <c r="X50" s="22"/>
      <c r="Y50" s="22"/>
    </row>
    <row r="51" spans="1:25" x14ac:dyDescent="0.35">
      <c r="A51" s="1"/>
      <c r="B51" s="16"/>
      <c r="C51" s="5"/>
      <c r="D51" s="1"/>
      <c r="E51" s="1"/>
      <c r="F51" s="1"/>
      <c r="G51" s="1"/>
      <c r="H51" s="1"/>
      <c r="I51" s="1"/>
      <c r="J51" s="1"/>
      <c r="K51" s="1"/>
      <c r="L51" s="10"/>
      <c r="M51" s="12"/>
      <c r="N51" s="12"/>
      <c r="O51" s="1"/>
      <c r="P51" s="14"/>
      <c r="Q51" s="14"/>
      <c r="R51" s="14"/>
      <c r="S51" s="14"/>
      <c r="T51" s="15"/>
      <c r="U51" s="15"/>
      <c r="V51" s="14"/>
      <c r="W51" s="30"/>
      <c r="X51" s="22"/>
      <c r="Y51" s="22"/>
    </row>
    <row r="52" spans="1:25" x14ac:dyDescent="0.35">
      <c r="A52" s="1"/>
      <c r="B52" s="16"/>
      <c r="C52" s="5"/>
      <c r="D52" s="1"/>
      <c r="E52" s="1"/>
      <c r="F52" s="1"/>
      <c r="G52" s="1"/>
      <c r="H52" s="1"/>
      <c r="I52" s="1"/>
      <c r="J52" s="1"/>
      <c r="K52" s="1"/>
      <c r="L52" s="10"/>
      <c r="M52" s="12"/>
      <c r="N52" s="12"/>
      <c r="O52" s="1"/>
      <c r="P52" s="14"/>
      <c r="Q52" s="14"/>
      <c r="R52" s="14"/>
      <c r="S52" s="14"/>
      <c r="T52" s="15"/>
      <c r="U52" s="15"/>
      <c r="V52" s="14"/>
      <c r="W52" s="30"/>
      <c r="X52" s="22"/>
      <c r="Y52" s="22"/>
    </row>
    <row r="53" spans="1:25" x14ac:dyDescent="0.35">
      <c r="A53" s="1"/>
      <c r="B53" s="16"/>
      <c r="C53" s="5"/>
      <c r="D53" s="1"/>
      <c r="E53" s="1"/>
      <c r="F53" s="1"/>
      <c r="G53" s="1"/>
      <c r="H53" s="1"/>
      <c r="I53" s="1"/>
      <c r="J53" s="1"/>
      <c r="K53" s="1"/>
      <c r="L53" s="10"/>
      <c r="M53" s="12"/>
      <c r="N53" s="12"/>
      <c r="O53" s="1"/>
      <c r="P53" s="14"/>
      <c r="Q53" s="14"/>
      <c r="R53" s="14"/>
      <c r="S53" s="14"/>
      <c r="T53" s="15"/>
      <c r="U53" s="15"/>
      <c r="V53" s="14"/>
      <c r="W53" s="30"/>
      <c r="X53" s="22"/>
      <c r="Y53" s="22"/>
    </row>
    <row r="54" spans="1:25" x14ac:dyDescent="0.35">
      <c r="A54" s="1"/>
      <c r="B54" s="16"/>
      <c r="C54" s="5"/>
      <c r="D54" s="1"/>
      <c r="E54" s="1"/>
      <c r="F54" s="1"/>
      <c r="G54" s="1"/>
      <c r="H54" s="1"/>
      <c r="I54" s="1"/>
      <c r="J54" s="1"/>
      <c r="K54" s="1"/>
      <c r="L54" s="10"/>
      <c r="M54" s="12"/>
      <c r="N54" s="12"/>
      <c r="O54" s="1"/>
      <c r="P54" s="14"/>
      <c r="Q54" s="14"/>
      <c r="R54" s="14"/>
      <c r="S54" s="14"/>
      <c r="T54" s="15"/>
      <c r="U54" s="15"/>
      <c r="V54" s="14"/>
      <c r="W54" s="30"/>
      <c r="X54" s="22"/>
      <c r="Y54" s="22"/>
    </row>
    <row r="55" spans="1:25" x14ac:dyDescent="0.35">
      <c r="A55" s="1"/>
      <c r="B55" s="16"/>
      <c r="C55" s="5"/>
      <c r="D55" s="1"/>
      <c r="E55" s="1"/>
      <c r="F55" s="1"/>
      <c r="G55" s="1"/>
      <c r="H55" s="1"/>
      <c r="I55" s="1"/>
      <c r="J55" s="1"/>
      <c r="K55" s="1"/>
      <c r="L55" s="10"/>
      <c r="M55" s="12"/>
      <c r="N55" s="12"/>
      <c r="O55" s="1"/>
      <c r="P55" s="14"/>
      <c r="Q55" s="14"/>
      <c r="R55" s="14"/>
      <c r="S55" s="14"/>
      <c r="T55" s="15"/>
      <c r="U55" s="15"/>
      <c r="V55" s="14"/>
      <c r="W55" s="30"/>
      <c r="X55" s="22"/>
      <c r="Y55" s="22"/>
    </row>
    <row r="56" spans="1:25" x14ac:dyDescent="0.35">
      <c r="A56" s="1"/>
      <c r="B56" s="16"/>
      <c r="C56" s="5"/>
      <c r="D56" s="1"/>
      <c r="E56" s="1"/>
      <c r="F56" s="1"/>
      <c r="G56" s="1"/>
      <c r="H56" s="1"/>
      <c r="I56" s="1"/>
      <c r="J56" s="1"/>
      <c r="K56" s="1"/>
      <c r="L56" s="10"/>
      <c r="M56" s="12"/>
      <c r="N56" s="12"/>
      <c r="O56" s="1"/>
      <c r="P56" s="14"/>
      <c r="Q56" s="14"/>
      <c r="R56" s="14"/>
      <c r="S56" s="14"/>
      <c r="T56" s="15"/>
      <c r="U56" s="15"/>
      <c r="V56" s="14"/>
      <c r="W56" s="30"/>
      <c r="X56" s="22"/>
      <c r="Y56" s="22"/>
    </row>
    <row r="57" spans="1:25" x14ac:dyDescent="0.35">
      <c r="A57" s="1"/>
      <c r="B57" s="16"/>
      <c r="C57" s="5"/>
      <c r="D57" s="1"/>
      <c r="E57" s="1"/>
      <c r="F57" s="1"/>
      <c r="G57" s="1"/>
      <c r="H57" s="1"/>
      <c r="I57" s="1"/>
      <c r="J57" s="1"/>
      <c r="K57" s="1"/>
      <c r="L57" s="10"/>
      <c r="M57" s="12"/>
      <c r="N57" s="12"/>
      <c r="O57" s="1"/>
      <c r="P57" s="14"/>
      <c r="Q57" s="14"/>
      <c r="R57" s="14"/>
      <c r="S57" s="14"/>
      <c r="T57" s="15"/>
      <c r="U57" s="15"/>
      <c r="V57" s="14"/>
      <c r="W57" s="30"/>
      <c r="X57" s="22"/>
      <c r="Y57" s="22"/>
    </row>
    <row r="58" spans="1:25" x14ac:dyDescent="0.35">
      <c r="A58" s="1"/>
      <c r="B58" s="16"/>
      <c r="C58" s="5"/>
      <c r="D58" s="1"/>
      <c r="E58" s="1"/>
      <c r="F58" s="1"/>
      <c r="G58" s="1"/>
      <c r="H58" s="1"/>
      <c r="I58" s="1"/>
      <c r="J58" s="1"/>
      <c r="K58" s="1"/>
      <c r="L58" s="10"/>
      <c r="M58" s="12"/>
      <c r="N58" s="12"/>
      <c r="O58" s="1"/>
      <c r="P58" s="14"/>
      <c r="Q58" s="14"/>
      <c r="R58" s="14"/>
      <c r="S58" s="14"/>
      <c r="T58" s="15"/>
      <c r="U58" s="15"/>
      <c r="V58" s="14"/>
      <c r="W58" s="30"/>
      <c r="X58" s="22"/>
      <c r="Y58" s="22"/>
    </row>
    <row r="59" spans="1:25" x14ac:dyDescent="0.35">
      <c r="A59" s="1"/>
      <c r="B59" s="16"/>
      <c r="C59" s="5"/>
      <c r="D59" s="1"/>
      <c r="E59" s="1"/>
      <c r="F59" s="1"/>
      <c r="G59" s="1"/>
      <c r="H59" s="1"/>
      <c r="I59" s="1"/>
      <c r="J59" s="1"/>
      <c r="K59" s="1"/>
      <c r="L59" s="10"/>
      <c r="M59" s="12"/>
      <c r="N59" s="12"/>
      <c r="O59" s="1"/>
      <c r="P59" s="14"/>
      <c r="Q59" s="14"/>
      <c r="R59" s="14"/>
      <c r="S59" s="14"/>
      <c r="T59" s="15"/>
      <c r="U59" s="15"/>
      <c r="V59" s="14"/>
      <c r="W59" s="30"/>
      <c r="X59" s="22"/>
      <c r="Y59" s="22"/>
    </row>
    <row r="60" spans="1:25" x14ac:dyDescent="0.35">
      <c r="A60" s="1"/>
      <c r="B60" s="16"/>
      <c r="C60" s="5"/>
      <c r="D60" s="1"/>
      <c r="E60" s="1"/>
      <c r="F60" s="1"/>
      <c r="G60" s="1"/>
      <c r="H60" s="1"/>
      <c r="I60" s="1"/>
      <c r="J60" s="1"/>
      <c r="K60" s="1"/>
      <c r="L60" s="10"/>
      <c r="M60" s="12"/>
      <c r="N60" s="12"/>
      <c r="O60" s="1"/>
      <c r="P60" s="14"/>
      <c r="Q60" s="14"/>
      <c r="R60" s="14"/>
      <c r="S60" s="14"/>
      <c r="T60" s="15"/>
      <c r="U60" s="15"/>
      <c r="V60" s="14"/>
      <c r="W60" s="30"/>
      <c r="X60" s="22"/>
      <c r="Y60" s="22"/>
    </row>
    <row r="61" spans="1:25" x14ac:dyDescent="0.35">
      <c r="A61" s="1"/>
      <c r="B61" s="16"/>
      <c r="C61" s="5"/>
      <c r="D61" s="1"/>
      <c r="E61" s="1"/>
      <c r="F61" s="1"/>
      <c r="G61" s="1"/>
      <c r="H61" s="1"/>
      <c r="I61" s="1"/>
      <c r="J61" s="1"/>
      <c r="K61" s="1"/>
      <c r="L61" s="10"/>
      <c r="M61" s="12"/>
      <c r="N61" s="12"/>
      <c r="O61" s="1"/>
      <c r="P61" s="14"/>
      <c r="Q61" s="14"/>
      <c r="R61" s="14"/>
      <c r="S61" s="14"/>
      <c r="T61" s="15"/>
      <c r="U61" s="15"/>
      <c r="V61" s="14"/>
      <c r="W61" s="30"/>
      <c r="X61" s="22"/>
      <c r="Y61" s="22"/>
    </row>
    <row r="62" spans="1:25" x14ac:dyDescent="0.35">
      <c r="A62" s="1"/>
      <c r="B62" s="16"/>
      <c r="C62" s="5"/>
      <c r="D62" s="1"/>
      <c r="E62" s="1"/>
      <c r="F62" s="1"/>
      <c r="G62" s="1"/>
      <c r="H62" s="1"/>
      <c r="I62" s="1"/>
      <c r="J62" s="1"/>
      <c r="K62" s="1"/>
      <c r="L62" s="10"/>
      <c r="M62" s="12"/>
      <c r="N62" s="12"/>
      <c r="O62" s="1"/>
      <c r="P62" s="14"/>
      <c r="Q62" s="14"/>
      <c r="R62" s="14"/>
      <c r="S62" s="14"/>
      <c r="T62" s="15"/>
      <c r="U62" s="15"/>
      <c r="V62" s="14"/>
      <c r="W62" s="30"/>
      <c r="X62" s="22"/>
      <c r="Y62" s="22"/>
    </row>
    <row r="63" spans="1:25" x14ac:dyDescent="0.35">
      <c r="A63" s="1"/>
      <c r="B63" s="16"/>
      <c r="C63" s="5"/>
      <c r="D63" s="1"/>
      <c r="E63" s="1"/>
      <c r="F63" s="1"/>
      <c r="G63" s="1"/>
      <c r="H63" s="1"/>
      <c r="I63" s="1"/>
      <c r="J63" s="1"/>
      <c r="K63" s="1"/>
      <c r="L63" s="10"/>
      <c r="M63" s="12"/>
      <c r="N63" s="12"/>
      <c r="O63" s="1"/>
      <c r="P63" s="14"/>
      <c r="Q63" s="14"/>
      <c r="R63" s="14"/>
      <c r="S63" s="14"/>
      <c r="T63" s="15"/>
      <c r="U63" s="15"/>
      <c r="V63" s="14"/>
      <c r="W63" s="30"/>
      <c r="X63" s="22"/>
      <c r="Y63" s="22"/>
    </row>
    <row r="64" spans="1:25" x14ac:dyDescent="0.35">
      <c r="A64" s="1"/>
      <c r="B64" s="16"/>
      <c r="C64" s="5"/>
      <c r="D64" s="1"/>
      <c r="E64" s="1"/>
      <c r="F64" s="1"/>
      <c r="G64" s="1"/>
      <c r="H64" s="1"/>
      <c r="I64" s="1"/>
      <c r="J64" s="1"/>
      <c r="K64" s="1"/>
      <c r="L64" s="10"/>
      <c r="M64" s="12"/>
      <c r="N64" s="12"/>
      <c r="O64" s="1"/>
      <c r="P64" s="14"/>
      <c r="Q64" s="14"/>
      <c r="R64" s="14"/>
      <c r="S64" s="14"/>
      <c r="T64" s="15"/>
      <c r="U64" s="15"/>
      <c r="V64" s="14"/>
      <c r="W64" s="30"/>
      <c r="X64" s="22"/>
      <c r="Y64" s="22"/>
    </row>
    <row r="65" spans="1:25" x14ac:dyDescent="0.35">
      <c r="A65" s="1"/>
      <c r="B65" s="16"/>
      <c r="C65" s="5"/>
      <c r="D65" s="1"/>
      <c r="E65" s="1"/>
      <c r="F65" s="1"/>
      <c r="G65" s="1"/>
      <c r="H65" s="1"/>
      <c r="I65" s="1"/>
      <c r="J65" s="1"/>
      <c r="K65" s="1"/>
      <c r="L65" s="10"/>
      <c r="M65" s="12"/>
      <c r="N65" s="12"/>
      <c r="O65" s="1"/>
      <c r="P65" s="14"/>
      <c r="Q65" s="14"/>
      <c r="R65" s="14"/>
      <c r="S65" s="14"/>
      <c r="T65" s="15"/>
      <c r="U65" s="15"/>
      <c r="V65" s="14"/>
      <c r="W65" s="30"/>
      <c r="X65" s="22"/>
      <c r="Y65" s="22"/>
    </row>
    <row r="66" spans="1:25" x14ac:dyDescent="0.35">
      <c r="A66" s="1"/>
      <c r="B66" s="16"/>
      <c r="C66" s="5"/>
      <c r="D66" s="1"/>
      <c r="E66" s="1"/>
      <c r="F66" s="1"/>
      <c r="G66" s="1"/>
      <c r="H66" s="1"/>
      <c r="I66" s="1"/>
      <c r="J66" s="1"/>
      <c r="K66" s="1"/>
      <c r="L66" s="10"/>
      <c r="M66" s="12"/>
      <c r="N66" s="12"/>
      <c r="O66" s="1"/>
      <c r="P66" s="14"/>
      <c r="Q66" s="14"/>
      <c r="R66" s="14"/>
      <c r="S66" s="14"/>
      <c r="T66" s="15"/>
      <c r="U66" s="15"/>
      <c r="V66" s="14"/>
      <c r="W66" s="30"/>
      <c r="X66" s="22"/>
      <c r="Y66" s="22"/>
    </row>
    <row r="67" spans="1:25" x14ac:dyDescent="0.35">
      <c r="A67" s="1"/>
      <c r="B67" s="16"/>
      <c r="C67" s="5"/>
      <c r="D67" s="1"/>
      <c r="E67" s="1"/>
      <c r="F67" s="1"/>
      <c r="G67" s="1"/>
      <c r="H67" s="1"/>
      <c r="I67" s="1"/>
      <c r="J67" s="1"/>
      <c r="K67" s="1"/>
      <c r="L67" s="10"/>
      <c r="M67" s="12"/>
      <c r="N67" s="12"/>
      <c r="O67" s="1"/>
      <c r="P67" s="14"/>
      <c r="Q67" s="14"/>
      <c r="R67" s="14"/>
      <c r="S67" s="14"/>
      <c r="T67" s="15"/>
      <c r="U67" s="15"/>
      <c r="V67" s="14"/>
      <c r="W67" s="30"/>
      <c r="X67" s="22"/>
      <c r="Y67" s="22"/>
    </row>
    <row r="68" spans="1:25" x14ac:dyDescent="0.35">
      <c r="A68" s="1"/>
      <c r="B68" s="16"/>
      <c r="C68" s="5"/>
      <c r="D68" s="1"/>
      <c r="E68" s="1"/>
      <c r="F68" s="1"/>
      <c r="G68" s="1"/>
      <c r="H68" s="1"/>
      <c r="I68" s="1"/>
      <c r="J68" s="1"/>
      <c r="K68" s="1"/>
      <c r="L68" s="10"/>
      <c r="M68" s="12"/>
      <c r="N68" s="12"/>
      <c r="O68" s="1"/>
      <c r="P68" s="14"/>
      <c r="Q68" s="14"/>
      <c r="R68" s="14"/>
      <c r="S68" s="14"/>
      <c r="T68" s="15"/>
      <c r="U68" s="15"/>
      <c r="V68" s="14"/>
      <c r="W68" s="30"/>
      <c r="X68" s="22"/>
      <c r="Y68" s="22"/>
    </row>
    <row r="69" spans="1:25" x14ac:dyDescent="0.35">
      <c r="A69" s="1"/>
      <c r="B69" s="16"/>
      <c r="C69" s="5"/>
      <c r="D69" s="1"/>
      <c r="E69" s="1"/>
      <c r="F69" s="1"/>
      <c r="G69" s="1"/>
      <c r="H69" s="1"/>
      <c r="I69" s="1"/>
      <c r="J69" s="1"/>
      <c r="K69" s="1"/>
      <c r="L69" s="10"/>
      <c r="M69" s="12"/>
      <c r="N69" s="12"/>
      <c r="O69" s="1"/>
      <c r="P69" s="14"/>
      <c r="Q69" s="14"/>
      <c r="R69" s="14"/>
      <c r="S69" s="14"/>
      <c r="T69" s="15"/>
      <c r="U69" s="15"/>
      <c r="V69" s="14"/>
      <c r="W69" s="30"/>
      <c r="X69" s="22"/>
      <c r="Y69" s="22"/>
    </row>
    <row r="70" spans="1:25" x14ac:dyDescent="0.35">
      <c r="A70" s="1"/>
      <c r="B70" s="16"/>
      <c r="C70" s="5"/>
      <c r="D70" s="1"/>
      <c r="E70" s="1"/>
      <c r="F70" s="1"/>
      <c r="G70" s="1"/>
      <c r="H70" s="1"/>
      <c r="I70" s="1"/>
      <c r="J70" s="1"/>
      <c r="K70" s="1"/>
      <c r="L70" s="10"/>
      <c r="M70" s="12"/>
      <c r="N70" s="12"/>
      <c r="O70" s="1"/>
      <c r="P70" s="14"/>
      <c r="Q70" s="14"/>
      <c r="R70" s="14"/>
      <c r="S70" s="14"/>
      <c r="T70" s="15"/>
      <c r="U70" s="15"/>
      <c r="V70" s="14"/>
      <c r="W70" s="30"/>
      <c r="X70" s="22"/>
      <c r="Y70" s="22"/>
    </row>
  </sheetData>
  <mergeCells count="83">
    <mergeCell ref="A2:I2"/>
    <mergeCell ref="J2:O2"/>
    <mergeCell ref="X2:Y2"/>
    <mergeCell ref="F16:F23"/>
    <mergeCell ref="G16:G23"/>
    <mergeCell ref="H16:H23"/>
    <mergeCell ref="I16:I23"/>
    <mergeCell ref="P7:P9"/>
    <mergeCell ref="A16:A23"/>
    <mergeCell ref="B16:B23"/>
    <mergeCell ref="C16:C23"/>
    <mergeCell ref="D16:D23"/>
    <mergeCell ref="E16:E23"/>
    <mergeCell ref="M24:M26"/>
    <mergeCell ref="X16:X23"/>
    <mergeCell ref="Y16:Y23"/>
    <mergeCell ref="A24:A26"/>
    <mergeCell ref="B24:B26"/>
    <mergeCell ref="C24:C26"/>
    <mergeCell ref="D24:D26"/>
    <mergeCell ref="E24:E26"/>
    <mergeCell ref="F24:F26"/>
    <mergeCell ref="G24:G26"/>
    <mergeCell ref="J16:J23"/>
    <mergeCell ref="K16:K23"/>
    <mergeCell ref="L16:L23"/>
    <mergeCell ref="M16:M23"/>
    <mergeCell ref="N16:N23"/>
    <mergeCell ref="O16:O23"/>
    <mergeCell ref="X24:X26"/>
    <mergeCell ref="Y24:Y26"/>
    <mergeCell ref="P4:P6"/>
    <mergeCell ref="R4:R6"/>
    <mergeCell ref="R7:R9"/>
    <mergeCell ref="A4:A15"/>
    <mergeCell ref="H4:H15"/>
    <mergeCell ref="I4:I15"/>
    <mergeCell ref="J4:J15"/>
    <mergeCell ref="K4:K15"/>
    <mergeCell ref="X4:X13"/>
    <mergeCell ref="Y4:Y13"/>
    <mergeCell ref="P10:P13"/>
    <mergeCell ref="Q10:Q13"/>
    <mergeCell ref="R10:R13"/>
    <mergeCell ref="Q4:Q6"/>
    <mergeCell ref="Q7:Q9"/>
    <mergeCell ref="Q14:Q15"/>
    <mergeCell ref="P2:W2"/>
    <mergeCell ref="W24:W26"/>
    <mergeCell ref="B4:B15"/>
    <mergeCell ref="C4:C15"/>
    <mergeCell ref="D4:D15"/>
    <mergeCell ref="E4:E15"/>
    <mergeCell ref="F4:F15"/>
    <mergeCell ref="G4:G15"/>
    <mergeCell ref="N24:N26"/>
    <mergeCell ref="O24:O26"/>
    <mergeCell ref="H24:H26"/>
    <mergeCell ref="I24:I26"/>
    <mergeCell ref="J24:J26"/>
    <mergeCell ref="K24:K26"/>
    <mergeCell ref="L24:L26"/>
    <mergeCell ref="L4:L15"/>
    <mergeCell ref="M4:M15"/>
    <mergeCell ref="N4:N15"/>
    <mergeCell ref="O4:O15"/>
    <mergeCell ref="P14:P15"/>
    <mergeCell ref="R14:R15"/>
    <mergeCell ref="W4:W6"/>
    <mergeCell ref="W7:W9"/>
    <mergeCell ref="W10:W13"/>
    <mergeCell ref="W14:W15"/>
    <mergeCell ref="W20:W21"/>
    <mergeCell ref="P18:P19"/>
    <mergeCell ref="Q18:Q19"/>
    <mergeCell ref="R18:R19"/>
    <mergeCell ref="W18:W19"/>
    <mergeCell ref="Q22:Q23"/>
    <mergeCell ref="P22:P23"/>
    <mergeCell ref="R22:R23"/>
    <mergeCell ref="P20:P21"/>
    <mergeCell ref="Q20:Q21"/>
    <mergeCell ref="R20:R21"/>
  </mergeCells>
  <conditionalFormatting sqref="O16:O70 O3:O4">
    <cfRule type="cellIs" dxfId="1" priority="1" operator="equal">
      <formula>"Profit"</formula>
    </cfRule>
    <cfRule type="cellIs" dxfId="0" priority="2" operator="equal">
      <formula>"Loss"</formula>
    </cfRule>
  </conditionalFormatting>
  <dataValidations count="11">
    <dataValidation type="list" allowBlank="1" showInputMessage="1" showErrorMessage="1" sqref="Q3:Q14 Q16:Q18 Q20 Q22 Q24:Q70" xr:uid="{BAC7DC21-A5E3-4381-8427-94B188F9D922}">
      <formula1>Team</formula1>
    </dataValidation>
    <dataValidation type="list" allowBlank="1" showInputMessage="1" showErrorMessage="1" sqref="R3:R14 R16:R18 R20 R22 R24:R70" xr:uid="{D89B2795-6C1A-4F80-A894-2D91AC9C0875}">
      <formula1>Status</formula1>
    </dataValidation>
    <dataValidation type="list" allowBlank="1" showInputMessage="1" showErrorMessage="1" sqref="X16:X70 X3:X4" xr:uid="{C09FDC22-0F45-47D9-8F54-CAE57A72BCE3}">
      <formula1>"Yet to do, Completed"</formula1>
    </dataValidation>
    <dataValidation type="list" allowBlank="1" showInputMessage="1" showErrorMessage="1" sqref="I16:I70 I3:I4" xr:uid="{BCD14489-47EF-4D38-B4C9-2A61914FEE54}">
      <formula1>"Yet to start, Planning, Execution, Completed"</formula1>
    </dataValidation>
    <dataValidation operator="greaterThan" allowBlank="1" showInputMessage="1" showErrorMessage="1" sqref="E27:G70 E24:G24 E16:G16 F3:G4 E3:E4" xr:uid="{CED781EC-F311-4F0B-BB6A-BBA248D2266E}"/>
    <dataValidation type="list" allowBlank="1" showInputMessage="1" showErrorMessage="1" sqref="B27:B68 B24 B16 B3:B4" xr:uid="{D6C55250-1C1C-4F03-BC4F-71DEA9AD9066}">
      <formula1>ServiceProvided</formula1>
    </dataValidation>
    <dataValidation type="list" allowBlank="1" showInputMessage="1" showErrorMessage="1" sqref="L3:L4 L16:L70" xr:uid="{517705CF-0FEC-4578-AFE3-F774DB01EF89}">
      <formula1>PaymentStatus</formula1>
    </dataValidation>
    <dataValidation type="list" allowBlank="1" showInputMessage="1" showErrorMessage="1" sqref="T3:T70" xr:uid="{F28C8FC7-B5FA-4814-A064-3946C0CDB3DC}">
      <formula1>INDIRECT(S3)</formula1>
    </dataValidation>
    <dataValidation type="list" allowBlank="1" showInputMessage="1" showErrorMessage="1" sqref="S3:S70" xr:uid="{64C70E80-03CE-41DC-9F0F-8B0F2AE5FD6D}">
      <formula1>"Vendor, Asset, Team"</formula1>
    </dataValidation>
    <dataValidation type="list" allowBlank="1" showInputMessage="1" showErrorMessage="1" sqref="U3:U70" xr:uid="{35A11C08-8216-4DF6-AB51-5CC58ABD4056}">
      <formula1>IF(S3="Team", Role, IF(S3="Asset", AssetStatus, ""))</formula1>
    </dataValidation>
    <dataValidation type="list" allowBlank="1" showInputMessage="1" showErrorMessage="1" sqref="V3:V70" xr:uid="{905FE380-C9FF-49B4-ADF6-844E1CB38606}">
      <formula1>IF(S3="Vendor", PaymentStatus, Status)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F57E5-0495-4B8F-904F-A1B318B62B9F}">
  <sheetPr codeName="Sheet6">
    <tabColor theme="9" tint="0.59999389629810485"/>
  </sheetPr>
  <dimension ref="B2:H253"/>
  <sheetViews>
    <sheetView showGridLines="0" topLeftCell="A2" workbookViewId="0">
      <selection activeCell="E7" sqref="E7"/>
    </sheetView>
  </sheetViews>
  <sheetFormatPr defaultRowHeight="14.5" x14ac:dyDescent="0.35"/>
  <cols>
    <col min="5" max="5" width="35.81640625" customWidth="1"/>
    <col min="6" max="6" width="12" customWidth="1"/>
    <col min="8" max="8" width="30.54296875" customWidth="1"/>
    <col min="11" max="11" width="14" customWidth="1"/>
    <col min="12" max="12" width="15.08984375" customWidth="1"/>
    <col min="13" max="14" width="10.453125" customWidth="1"/>
    <col min="15" max="15" width="41.81640625" customWidth="1"/>
  </cols>
  <sheetData>
    <row r="2" spans="2:8" ht="31.5" x14ac:dyDescent="0.75">
      <c r="B2" s="107" t="s">
        <v>183</v>
      </c>
      <c r="C2" s="107"/>
      <c r="D2" s="107"/>
      <c r="E2" s="107"/>
    </row>
    <row r="5" spans="2:8" x14ac:dyDescent="0.35">
      <c r="B5" s="25" t="s">
        <v>25</v>
      </c>
      <c r="C5" s="25" t="s">
        <v>4</v>
      </c>
      <c r="D5" s="25" t="s">
        <v>0</v>
      </c>
      <c r="E5" s="25" t="s">
        <v>174</v>
      </c>
      <c r="F5" s="25" t="s">
        <v>165</v>
      </c>
      <c r="G5" s="25" t="s">
        <v>163</v>
      </c>
      <c r="H5" s="25" t="s">
        <v>164</v>
      </c>
    </row>
    <row r="6" spans="2:8" x14ac:dyDescent="0.35">
      <c r="B6" s="1"/>
      <c r="C6" s="1" t="s">
        <v>166</v>
      </c>
      <c r="D6" s="1" t="s">
        <v>78</v>
      </c>
      <c r="E6" s="1"/>
      <c r="F6" s="6">
        <v>45887</v>
      </c>
      <c r="G6" s="1">
        <v>6331</v>
      </c>
      <c r="H6" s="1" t="s">
        <v>167</v>
      </c>
    </row>
    <row r="7" spans="2:8" x14ac:dyDescent="0.35">
      <c r="B7" s="1"/>
      <c r="C7" s="1" t="s">
        <v>166</v>
      </c>
      <c r="D7" s="1" t="s">
        <v>78</v>
      </c>
      <c r="E7" s="1"/>
      <c r="F7" s="6">
        <v>45888</v>
      </c>
      <c r="G7" s="1">
        <v>1650</v>
      </c>
      <c r="H7" s="1" t="s">
        <v>168</v>
      </c>
    </row>
    <row r="8" spans="2:8" x14ac:dyDescent="0.35">
      <c r="B8" s="1"/>
      <c r="C8" s="1" t="s">
        <v>166</v>
      </c>
      <c r="D8" s="1" t="s">
        <v>78</v>
      </c>
      <c r="E8" s="1"/>
      <c r="F8" s="6">
        <v>45888</v>
      </c>
      <c r="G8" s="1">
        <v>7000</v>
      </c>
      <c r="H8" s="1" t="s">
        <v>169</v>
      </c>
    </row>
    <row r="9" spans="2:8" x14ac:dyDescent="0.35">
      <c r="B9" s="1"/>
      <c r="C9" s="1" t="s">
        <v>166</v>
      </c>
      <c r="D9" s="1" t="s">
        <v>78</v>
      </c>
      <c r="E9" s="1"/>
      <c r="F9" s="6">
        <v>45892</v>
      </c>
      <c r="G9" s="1">
        <v>1900</v>
      </c>
      <c r="H9" s="1" t="s">
        <v>170</v>
      </c>
    </row>
    <row r="10" spans="2:8" x14ac:dyDescent="0.35">
      <c r="B10" s="1"/>
      <c r="C10" s="1" t="s">
        <v>166</v>
      </c>
      <c r="D10" s="1" t="s">
        <v>78</v>
      </c>
      <c r="E10" s="1"/>
      <c r="F10" s="6">
        <v>45892</v>
      </c>
      <c r="G10" s="1">
        <v>300</v>
      </c>
      <c r="H10" s="1" t="s">
        <v>171</v>
      </c>
    </row>
    <row r="11" spans="2:8" x14ac:dyDescent="0.35">
      <c r="B11" s="1"/>
      <c r="C11" s="1" t="s">
        <v>173</v>
      </c>
      <c r="D11" s="1" t="s">
        <v>97</v>
      </c>
      <c r="E11" s="1" t="s">
        <v>37</v>
      </c>
      <c r="F11" s="6">
        <v>45891</v>
      </c>
      <c r="G11" s="1">
        <v>2500</v>
      </c>
      <c r="H11" s="1" t="s">
        <v>172</v>
      </c>
    </row>
    <row r="12" spans="2:8" x14ac:dyDescent="0.35">
      <c r="B12" s="1"/>
      <c r="C12" s="1" t="s">
        <v>166</v>
      </c>
      <c r="D12" s="1" t="s">
        <v>96</v>
      </c>
      <c r="E12" s="1" t="s">
        <v>175</v>
      </c>
      <c r="F12" s="1"/>
      <c r="G12" s="1">
        <v>265000</v>
      </c>
      <c r="H12" s="1" t="s">
        <v>176</v>
      </c>
    </row>
    <row r="13" spans="2:8" x14ac:dyDescent="0.35">
      <c r="B13" s="1"/>
      <c r="C13" s="1"/>
      <c r="D13" s="1"/>
      <c r="E13" s="1"/>
      <c r="F13" s="1"/>
      <c r="G13" s="1"/>
      <c r="H13" s="1"/>
    </row>
    <row r="14" spans="2:8" x14ac:dyDescent="0.35">
      <c r="B14" s="1"/>
      <c r="C14" s="1"/>
      <c r="D14" s="1"/>
      <c r="E14" s="1"/>
      <c r="F14" s="1"/>
      <c r="G14" s="1"/>
      <c r="H14" s="1"/>
    </row>
    <row r="15" spans="2:8" x14ac:dyDescent="0.35">
      <c r="B15" s="1"/>
      <c r="C15" s="1"/>
      <c r="D15" s="1"/>
      <c r="E15" s="1"/>
      <c r="F15" s="1"/>
      <c r="G15" s="1"/>
      <c r="H15" s="1"/>
    </row>
    <row r="16" spans="2:8" x14ac:dyDescent="0.35">
      <c r="B16" s="1"/>
      <c r="C16" s="1"/>
      <c r="D16" s="1"/>
      <c r="E16" s="1"/>
      <c r="F16" s="1"/>
      <c r="G16" s="1"/>
      <c r="H16" s="1"/>
    </row>
    <row r="17" spans="2:8" x14ac:dyDescent="0.35">
      <c r="B17" s="1"/>
      <c r="C17" s="1"/>
      <c r="D17" s="1"/>
      <c r="E17" s="1"/>
      <c r="F17" s="1"/>
      <c r="G17" s="1"/>
      <c r="H17" s="1"/>
    </row>
    <row r="18" spans="2:8" x14ac:dyDescent="0.35">
      <c r="B18" s="1"/>
      <c r="C18" s="1"/>
      <c r="D18" s="1"/>
      <c r="E18" s="1"/>
      <c r="F18" s="1"/>
      <c r="G18" s="1"/>
      <c r="H18" s="1"/>
    </row>
    <row r="19" spans="2:8" x14ac:dyDescent="0.35">
      <c r="B19" s="1"/>
      <c r="C19" s="1"/>
      <c r="D19" s="1"/>
      <c r="E19" s="1"/>
      <c r="F19" s="1"/>
      <c r="G19" s="1"/>
      <c r="H19" s="1"/>
    </row>
    <row r="20" spans="2:8" x14ac:dyDescent="0.35">
      <c r="B20" s="1"/>
      <c r="C20" s="1"/>
      <c r="D20" s="1"/>
      <c r="E20" s="1"/>
      <c r="F20" s="1"/>
      <c r="G20" s="1"/>
      <c r="H20" s="1"/>
    </row>
    <row r="21" spans="2:8" x14ac:dyDescent="0.35">
      <c r="B21" s="1"/>
      <c r="C21" s="1"/>
      <c r="D21" s="1"/>
      <c r="E21" s="1"/>
      <c r="F21" s="1"/>
      <c r="G21" s="1"/>
      <c r="H21" s="1"/>
    </row>
    <row r="22" spans="2:8" x14ac:dyDescent="0.35">
      <c r="B22" s="1"/>
      <c r="C22" s="1"/>
      <c r="D22" s="1"/>
      <c r="E22" s="1"/>
      <c r="F22" s="1"/>
      <c r="G22" s="1"/>
      <c r="H22" s="1"/>
    </row>
    <row r="23" spans="2:8" x14ac:dyDescent="0.35">
      <c r="B23" s="1"/>
      <c r="C23" s="1"/>
      <c r="D23" s="1"/>
      <c r="E23" s="1"/>
      <c r="F23" s="1"/>
      <c r="G23" s="1"/>
      <c r="H23" s="1"/>
    </row>
    <row r="24" spans="2:8" x14ac:dyDescent="0.35">
      <c r="B24" s="1"/>
      <c r="C24" s="1"/>
      <c r="D24" s="1"/>
      <c r="E24" s="1"/>
      <c r="F24" s="1"/>
      <c r="G24" s="1"/>
      <c r="H24" s="1"/>
    </row>
    <row r="25" spans="2:8" x14ac:dyDescent="0.35">
      <c r="B25" s="1"/>
      <c r="C25" s="1"/>
      <c r="D25" s="1"/>
      <c r="E25" s="1"/>
      <c r="F25" s="1"/>
      <c r="G25" s="1"/>
      <c r="H25" s="1"/>
    </row>
    <row r="26" spans="2:8" x14ac:dyDescent="0.35">
      <c r="B26" s="1"/>
      <c r="C26" s="1"/>
      <c r="D26" s="1"/>
      <c r="E26" s="1"/>
      <c r="F26" s="1"/>
      <c r="G26" s="1"/>
      <c r="H26" s="1"/>
    </row>
    <row r="27" spans="2:8" x14ac:dyDescent="0.35">
      <c r="B27" s="1"/>
      <c r="C27" s="1"/>
      <c r="D27" s="1"/>
      <c r="E27" s="1"/>
      <c r="F27" s="1"/>
      <c r="G27" s="1"/>
      <c r="H27" s="1"/>
    </row>
    <row r="28" spans="2:8" x14ac:dyDescent="0.35">
      <c r="B28" s="1"/>
      <c r="C28" s="1"/>
      <c r="D28" s="1"/>
      <c r="E28" s="1"/>
      <c r="F28" s="1"/>
      <c r="G28" s="1"/>
      <c r="H28" s="1"/>
    </row>
    <row r="29" spans="2:8" x14ac:dyDescent="0.35">
      <c r="B29" s="1"/>
      <c r="C29" s="1"/>
      <c r="D29" s="1"/>
      <c r="E29" s="1"/>
      <c r="F29" s="1"/>
      <c r="G29" s="1"/>
      <c r="H29" s="1"/>
    </row>
    <row r="30" spans="2:8" x14ac:dyDescent="0.35">
      <c r="B30" s="1"/>
      <c r="C30" s="1"/>
      <c r="D30" s="1"/>
      <c r="E30" s="1"/>
      <c r="F30" s="1"/>
      <c r="G30" s="1"/>
      <c r="H30" s="1"/>
    </row>
    <row r="31" spans="2:8" x14ac:dyDescent="0.35">
      <c r="B31" s="1"/>
      <c r="C31" s="1"/>
      <c r="D31" s="1"/>
      <c r="E31" s="1"/>
      <c r="F31" s="1"/>
      <c r="G31" s="1"/>
      <c r="H31" s="1"/>
    </row>
    <row r="32" spans="2:8" x14ac:dyDescent="0.35">
      <c r="B32" s="1"/>
      <c r="C32" s="1"/>
      <c r="D32" s="1"/>
      <c r="E32" s="1"/>
      <c r="F32" s="1"/>
      <c r="G32" s="1"/>
      <c r="H32" s="1"/>
    </row>
    <row r="33" spans="2:8" x14ac:dyDescent="0.35">
      <c r="B33" s="1"/>
      <c r="C33" s="1"/>
      <c r="D33" s="1"/>
      <c r="E33" s="1"/>
      <c r="F33" s="1"/>
      <c r="G33" s="1"/>
      <c r="H33" s="1"/>
    </row>
    <row r="34" spans="2:8" x14ac:dyDescent="0.35">
      <c r="B34" s="1"/>
      <c r="C34" s="1"/>
      <c r="D34" s="1"/>
      <c r="E34" s="1"/>
      <c r="F34" s="1"/>
      <c r="G34" s="1"/>
      <c r="H34" s="1"/>
    </row>
    <row r="35" spans="2:8" x14ac:dyDescent="0.35">
      <c r="B35" s="1"/>
      <c r="C35" s="1"/>
      <c r="D35" s="1"/>
      <c r="E35" s="1"/>
      <c r="F35" s="1"/>
      <c r="G35" s="1"/>
      <c r="H35" s="1"/>
    </row>
    <row r="36" spans="2:8" x14ac:dyDescent="0.35">
      <c r="B36" s="1"/>
      <c r="C36" s="1"/>
      <c r="D36" s="1"/>
      <c r="E36" s="1"/>
      <c r="F36" s="1"/>
      <c r="G36" s="1"/>
      <c r="H36" s="1"/>
    </row>
    <row r="37" spans="2:8" x14ac:dyDescent="0.35">
      <c r="B37" s="1"/>
      <c r="C37" s="1"/>
      <c r="D37" s="1"/>
      <c r="E37" s="1"/>
      <c r="F37" s="1"/>
      <c r="G37" s="1"/>
      <c r="H37" s="1"/>
    </row>
    <row r="38" spans="2:8" x14ac:dyDescent="0.35">
      <c r="B38" s="1"/>
      <c r="C38" s="1"/>
      <c r="D38" s="1"/>
      <c r="E38" s="1"/>
      <c r="F38" s="1"/>
      <c r="G38" s="1"/>
      <c r="H38" s="1"/>
    </row>
    <row r="39" spans="2:8" x14ac:dyDescent="0.35">
      <c r="B39" s="1"/>
      <c r="C39" s="1"/>
      <c r="D39" s="1"/>
      <c r="E39" s="1"/>
      <c r="F39" s="1"/>
      <c r="G39" s="1"/>
      <c r="H39" s="1"/>
    </row>
    <row r="40" spans="2:8" x14ac:dyDescent="0.35">
      <c r="B40" s="1"/>
      <c r="C40" s="1"/>
      <c r="D40" s="1"/>
      <c r="E40" s="1"/>
      <c r="F40" s="1"/>
      <c r="G40" s="1"/>
      <c r="H40" s="1"/>
    </row>
    <row r="41" spans="2:8" x14ac:dyDescent="0.35">
      <c r="B41" s="1"/>
      <c r="C41" s="1"/>
      <c r="D41" s="1"/>
      <c r="E41" s="1"/>
      <c r="F41" s="1"/>
      <c r="G41" s="1"/>
      <c r="H41" s="1"/>
    </row>
    <row r="42" spans="2:8" x14ac:dyDescent="0.35">
      <c r="B42" s="1"/>
      <c r="C42" s="1"/>
      <c r="D42" s="1"/>
      <c r="E42" s="1"/>
      <c r="F42" s="1"/>
      <c r="G42" s="1"/>
      <c r="H42" s="1"/>
    </row>
    <row r="43" spans="2:8" x14ac:dyDescent="0.35">
      <c r="B43" s="1"/>
      <c r="C43" s="1"/>
      <c r="D43" s="1"/>
      <c r="E43" s="1"/>
      <c r="F43" s="1"/>
      <c r="G43" s="1"/>
      <c r="H43" s="1"/>
    </row>
    <row r="44" spans="2:8" x14ac:dyDescent="0.35">
      <c r="B44" s="1"/>
      <c r="C44" s="1"/>
      <c r="D44" s="1"/>
      <c r="E44" s="1"/>
      <c r="F44" s="1"/>
      <c r="G44" s="1"/>
      <c r="H44" s="1"/>
    </row>
    <row r="45" spans="2:8" x14ac:dyDescent="0.35">
      <c r="B45" s="1"/>
      <c r="C45" s="1"/>
      <c r="D45" s="1"/>
      <c r="E45" s="1"/>
      <c r="F45" s="1"/>
      <c r="G45" s="1"/>
      <c r="H45" s="1"/>
    </row>
    <row r="46" spans="2:8" x14ac:dyDescent="0.35">
      <c r="B46" s="1"/>
      <c r="C46" s="1"/>
      <c r="D46" s="1"/>
      <c r="E46" s="1"/>
      <c r="F46" s="1"/>
      <c r="G46" s="1"/>
      <c r="H46" s="1"/>
    </row>
    <row r="47" spans="2:8" x14ac:dyDescent="0.35">
      <c r="B47" s="1"/>
      <c r="C47" s="1"/>
      <c r="D47" s="1"/>
      <c r="E47" s="1"/>
      <c r="F47" s="1"/>
      <c r="G47" s="1"/>
      <c r="H47" s="1"/>
    </row>
    <row r="48" spans="2:8" x14ac:dyDescent="0.35">
      <c r="B48" s="1"/>
      <c r="C48" s="1"/>
      <c r="D48" s="1"/>
      <c r="E48" s="1"/>
      <c r="F48" s="1"/>
      <c r="G48" s="1"/>
      <c r="H48" s="1"/>
    </row>
    <row r="49" spans="2:8" x14ac:dyDescent="0.35">
      <c r="B49" s="1"/>
      <c r="C49" s="1"/>
      <c r="D49" s="1"/>
      <c r="E49" s="1"/>
      <c r="F49" s="1"/>
      <c r="G49" s="1"/>
      <c r="H49" s="1"/>
    </row>
    <row r="50" spans="2:8" x14ac:dyDescent="0.35">
      <c r="B50" s="1"/>
      <c r="C50" s="1"/>
      <c r="D50" s="1"/>
      <c r="E50" s="1"/>
      <c r="F50" s="1"/>
      <c r="G50" s="1"/>
      <c r="H50" s="1"/>
    </row>
    <row r="51" spans="2:8" x14ac:dyDescent="0.35">
      <c r="B51" s="1"/>
      <c r="C51" s="1"/>
      <c r="D51" s="1"/>
      <c r="E51" s="1"/>
      <c r="F51" s="1"/>
      <c r="G51" s="1"/>
      <c r="H51" s="1"/>
    </row>
    <row r="52" spans="2:8" x14ac:dyDescent="0.35">
      <c r="B52" s="1"/>
      <c r="C52" s="1"/>
      <c r="D52" s="1"/>
      <c r="E52" s="1"/>
      <c r="F52" s="1"/>
      <c r="G52" s="1"/>
      <c r="H52" s="1"/>
    </row>
    <row r="53" spans="2:8" x14ac:dyDescent="0.35">
      <c r="B53" s="1"/>
      <c r="C53" s="1"/>
      <c r="D53" s="1"/>
      <c r="E53" s="1"/>
      <c r="F53" s="1"/>
      <c r="G53" s="1"/>
      <c r="H53" s="1"/>
    </row>
    <row r="54" spans="2:8" x14ac:dyDescent="0.35">
      <c r="B54" s="1"/>
      <c r="C54" s="1"/>
      <c r="D54" s="1"/>
      <c r="E54" s="1"/>
      <c r="F54" s="1"/>
      <c r="G54" s="1"/>
      <c r="H54" s="1"/>
    </row>
    <row r="55" spans="2:8" x14ac:dyDescent="0.35">
      <c r="B55" s="1"/>
      <c r="C55" s="1"/>
      <c r="D55" s="1"/>
      <c r="E55" s="1"/>
      <c r="F55" s="1"/>
      <c r="G55" s="1"/>
      <c r="H55" s="1"/>
    </row>
    <row r="56" spans="2:8" x14ac:dyDescent="0.35">
      <c r="B56" s="1"/>
      <c r="C56" s="1"/>
      <c r="D56" s="1"/>
      <c r="E56" s="1"/>
      <c r="F56" s="1"/>
      <c r="G56" s="1"/>
      <c r="H56" s="1"/>
    </row>
    <row r="57" spans="2:8" x14ac:dyDescent="0.35">
      <c r="B57" s="1"/>
      <c r="C57" s="1"/>
      <c r="D57" s="1"/>
      <c r="E57" s="1"/>
      <c r="F57" s="1"/>
      <c r="G57" s="1"/>
      <c r="H57" s="1"/>
    </row>
    <row r="58" spans="2:8" x14ac:dyDescent="0.35">
      <c r="B58" s="1"/>
      <c r="C58" s="1"/>
      <c r="D58" s="1"/>
      <c r="E58" s="1"/>
      <c r="F58" s="1"/>
      <c r="G58" s="1"/>
      <c r="H58" s="1"/>
    </row>
    <row r="59" spans="2:8" x14ac:dyDescent="0.35">
      <c r="B59" s="1"/>
      <c r="C59" s="1"/>
      <c r="D59" s="1"/>
      <c r="E59" s="1"/>
      <c r="F59" s="1"/>
      <c r="G59" s="1"/>
      <c r="H59" s="1"/>
    </row>
    <row r="60" spans="2:8" x14ac:dyDescent="0.35">
      <c r="B60" s="1"/>
      <c r="C60" s="1"/>
      <c r="D60" s="1"/>
      <c r="E60" s="1"/>
      <c r="F60" s="1"/>
      <c r="G60" s="1"/>
      <c r="H60" s="1"/>
    </row>
    <row r="61" spans="2:8" x14ac:dyDescent="0.35">
      <c r="B61" s="1"/>
      <c r="C61" s="1"/>
      <c r="D61" s="1"/>
      <c r="E61" s="1"/>
      <c r="F61" s="1"/>
      <c r="G61" s="1"/>
      <c r="H61" s="1"/>
    </row>
    <row r="62" spans="2:8" x14ac:dyDescent="0.35">
      <c r="B62" s="1"/>
      <c r="C62" s="1"/>
      <c r="D62" s="1"/>
      <c r="E62" s="1"/>
      <c r="F62" s="1"/>
      <c r="G62" s="1"/>
      <c r="H62" s="1"/>
    </row>
    <row r="63" spans="2:8" x14ac:dyDescent="0.35">
      <c r="B63" s="1"/>
      <c r="C63" s="1"/>
      <c r="D63" s="1"/>
      <c r="E63" s="1"/>
      <c r="F63" s="1"/>
      <c r="G63" s="1"/>
      <c r="H63" s="1"/>
    </row>
    <row r="64" spans="2:8" x14ac:dyDescent="0.35">
      <c r="B64" s="1"/>
      <c r="C64" s="1"/>
      <c r="D64" s="1"/>
      <c r="E64" s="1"/>
      <c r="F64" s="1"/>
      <c r="G64" s="1"/>
      <c r="H64" s="1"/>
    </row>
    <row r="65" spans="2:8" x14ac:dyDescent="0.35">
      <c r="B65" s="1"/>
      <c r="C65" s="1"/>
      <c r="D65" s="1"/>
      <c r="E65" s="1"/>
      <c r="F65" s="1"/>
      <c r="G65" s="1"/>
      <c r="H65" s="1"/>
    </row>
    <row r="66" spans="2:8" x14ac:dyDescent="0.35">
      <c r="B66" s="1"/>
      <c r="C66" s="1"/>
      <c r="D66" s="1"/>
      <c r="E66" s="1"/>
      <c r="F66" s="1"/>
      <c r="G66" s="1"/>
      <c r="H66" s="1"/>
    </row>
    <row r="67" spans="2:8" x14ac:dyDescent="0.35">
      <c r="B67" s="1"/>
      <c r="C67" s="1"/>
      <c r="D67" s="1"/>
      <c r="E67" s="1"/>
      <c r="F67" s="1"/>
      <c r="G67" s="1"/>
      <c r="H67" s="1"/>
    </row>
    <row r="68" spans="2:8" x14ac:dyDescent="0.35">
      <c r="B68" s="1"/>
      <c r="C68" s="1"/>
      <c r="D68" s="1"/>
      <c r="E68" s="1"/>
      <c r="F68" s="1"/>
      <c r="G68" s="1"/>
      <c r="H68" s="1"/>
    </row>
    <row r="69" spans="2:8" x14ac:dyDescent="0.35">
      <c r="B69" s="1"/>
      <c r="C69" s="1"/>
      <c r="D69" s="1"/>
      <c r="E69" s="1"/>
      <c r="F69" s="1"/>
      <c r="G69" s="1"/>
      <c r="H69" s="1"/>
    </row>
    <row r="70" spans="2:8" x14ac:dyDescent="0.35">
      <c r="B70" s="1"/>
      <c r="C70" s="1"/>
      <c r="D70" s="1"/>
      <c r="E70" s="1"/>
      <c r="F70" s="1"/>
      <c r="G70" s="1"/>
      <c r="H70" s="1"/>
    </row>
    <row r="71" spans="2:8" x14ac:dyDescent="0.35">
      <c r="B71" s="1"/>
      <c r="C71" s="1"/>
      <c r="D71" s="1"/>
      <c r="E71" s="1"/>
      <c r="F71" s="1"/>
      <c r="G71" s="1"/>
      <c r="H71" s="1"/>
    </row>
    <row r="72" spans="2:8" x14ac:dyDescent="0.35">
      <c r="B72" s="1"/>
      <c r="C72" s="1"/>
      <c r="D72" s="1"/>
      <c r="E72" s="1"/>
      <c r="F72" s="1"/>
      <c r="G72" s="1"/>
      <c r="H72" s="1"/>
    </row>
    <row r="73" spans="2:8" x14ac:dyDescent="0.35">
      <c r="B73" s="1"/>
      <c r="C73" s="1"/>
      <c r="D73" s="1"/>
      <c r="E73" s="1"/>
      <c r="F73" s="1"/>
      <c r="G73" s="1"/>
      <c r="H73" s="1"/>
    </row>
    <row r="74" spans="2:8" x14ac:dyDescent="0.35">
      <c r="B74" s="1"/>
      <c r="C74" s="1"/>
      <c r="D74" s="1"/>
      <c r="E74" s="1"/>
      <c r="F74" s="1"/>
      <c r="G74" s="1"/>
      <c r="H74" s="1"/>
    </row>
    <row r="75" spans="2:8" x14ac:dyDescent="0.35">
      <c r="B75" s="1"/>
      <c r="C75" s="1"/>
      <c r="D75" s="1"/>
      <c r="E75" s="1"/>
      <c r="F75" s="1"/>
      <c r="G75" s="1"/>
      <c r="H75" s="1"/>
    </row>
    <row r="76" spans="2:8" x14ac:dyDescent="0.35">
      <c r="B76" s="1"/>
      <c r="C76" s="1"/>
      <c r="D76" s="1"/>
      <c r="E76" s="1"/>
      <c r="F76" s="1"/>
      <c r="G76" s="1"/>
      <c r="H76" s="1"/>
    </row>
    <row r="77" spans="2:8" x14ac:dyDescent="0.35">
      <c r="B77" s="1"/>
      <c r="C77" s="1"/>
      <c r="D77" s="1"/>
      <c r="E77" s="1"/>
      <c r="F77" s="1"/>
      <c r="G77" s="1"/>
      <c r="H77" s="1"/>
    </row>
    <row r="78" spans="2:8" x14ac:dyDescent="0.35">
      <c r="B78" s="1"/>
      <c r="C78" s="1"/>
      <c r="D78" s="1"/>
      <c r="E78" s="1"/>
      <c r="F78" s="1"/>
      <c r="G78" s="1"/>
      <c r="H78" s="1"/>
    </row>
    <row r="79" spans="2:8" x14ac:dyDescent="0.35">
      <c r="B79" s="1"/>
      <c r="C79" s="1"/>
      <c r="D79" s="1"/>
      <c r="E79" s="1"/>
      <c r="F79" s="1"/>
      <c r="G79" s="1"/>
      <c r="H79" s="1"/>
    </row>
    <row r="80" spans="2:8" x14ac:dyDescent="0.35">
      <c r="B80" s="1"/>
      <c r="C80" s="1"/>
      <c r="D80" s="1"/>
      <c r="E80" s="1"/>
      <c r="F80" s="1"/>
      <c r="G80" s="1"/>
      <c r="H80" s="1"/>
    </row>
    <row r="81" spans="2:8" x14ac:dyDescent="0.35">
      <c r="B81" s="1"/>
      <c r="C81" s="1"/>
      <c r="D81" s="1"/>
      <c r="E81" s="1"/>
      <c r="F81" s="1"/>
      <c r="G81" s="1"/>
      <c r="H81" s="1"/>
    </row>
    <row r="82" spans="2:8" x14ac:dyDescent="0.35">
      <c r="B82" s="1"/>
      <c r="C82" s="1"/>
      <c r="D82" s="1"/>
      <c r="E82" s="1"/>
      <c r="F82" s="1"/>
      <c r="G82" s="1"/>
      <c r="H82" s="1"/>
    </row>
    <row r="83" spans="2:8" x14ac:dyDescent="0.35">
      <c r="B83" s="1"/>
      <c r="C83" s="1"/>
      <c r="D83" s="1"/>
      <c r="E83" s="1"/>
      <c r="F83" s="1"/>
      <c r="G83" s="1"/>
      <c r="H83" s="1"/>
    </row>
    <row r="84" spans="2:8" x14ac:dyDescent="0.35">
      <c r="B84" s="1"/>
      <c r="C84" s="1"/>
      <c r="D84" s="1"/>
      <c r="E84" s="1"/>
      <c r="F84" s="1"/>
      <c r="G84" s="1"/>
      <c r="H84" s="1"/>
    </row>
    <row r="85" spans="2:8" x14ac:dyDescent="0.35">
      <c r="B85" s="1"/>
      <c r="C85" s="1"/>
      <c r="D85" s="1"/>
      <c r="E85" s="1"/>
      <c r="F85" s="1"/>
      <c r="G85" s="1"/>
      <c r="H85" s="1"/>
    </row>
    <row r="86" spans="2:8" x14ac:dyDescent="0.35">
      <c r="B86" s="1"/>
      <c r="C86" s="1"/>
      <c r="D86" s="1"/>
      <c r="E86" s="1"/>
      <c r="F86" s="1"/>
      <c r="G86" s="1"/>
      <c r="H86" s="1"/>
    </row>
    <row r="87" spans="2:8" x14ac:dyDescent="0.35">
      <c r="B87" s="1"/>
      <c r="C87" s="1"/>
      <c r="D87" s="1"/>
      <c r="E87" s="1"/>
      <c r="F87" s="1"/>
      <c r="G87" s="1"/>
      <c r="H87" s="1"/>
    </row>
    <row r="88" spans="2:8" x14ac:dyDescent="0.35">
      <c r="B88" s="1"/>
      <c r="C88" s="1"/>
      <c r="D88" s="1"/>
      <c r="E88" s="1"/>
      <c r="F88" s="1"/>
      <c r="G88" s="1"/>
      <c r="H88" s="1"/>
    </row>
    <row r="89" spans="2:8" x14ac:dyDescent="0.35">
      <c r="B89" s="1"/>
      <c r="C89" s="1"/>
      <c r="D89" s="1"/>
      <c r="E89" s="1"/>
      <c r="F89" s="1"/>
      <c r="G89" s="1"/>
      <c r="H89" s="1"/>
    </row>
    <row r="90" spans="2:8" x14ac:dyDescent="0.35">
      <c r="B90" s="1"/>
      <c r="C90" s="1"/>
      <c r="D90" s="1"/>
      <c r="E90" s="1"/>
      <c r="F90" s="1"/>
      <c r="G90" s="1"/>
      <c r="H90" s="1"/>
    </row>
    <row r="91" spans="2:8" x14ac:dyDescent="0.35">
      <c r="B91" s="1"/>
      <c r="C91" s="1"/>
      <c r="D91" s="1"/>
      <c r="E91" s="1"/>
      <c r="F91" s="1"/>
      <c r="G91" s="1"/>
      <c r="H91" s="1"/>
    </row>
    <row r="92" spans="2:8" x14ac:dyDescent="0.35">
      <c r="B92" s="1"/>
      <c r="C92" s="1"/>
      <c r="D92" s="1"/>
      <c r="E92" s="1"/>
      <c r="F92" s="1"/>
      <c r="G92" s="1"/>
      <c r="H92" s="1"/>
    </row>
    <row r="93" spans="2:8" x14ac:dyDescent="0.35">
      <c r="B93" s="1"/>
      <c r="C93" s="1"/>
      <c r="D93" s="1"/>
      <c r="E93" s="1"/>
      <c r="F93" s="1"/>
      <c r="G93" s="1"/>
      <c r="H93" s="1"/>
    </row>
    <row r="94" spans="2:8" x14ac:dyDescent="0.35">
      <c r="B94" s="1"/>
      <c r="C94" s="1"/>
      <c r="D94" s="1"/>
      <c r="E94" s="1"/>
      <c r="F94" s="1"/>
      <c r="G94" s="1"/>
      <c r="H94" s="1"/>
    </row>
    <row r="95" spans="2:8" x14ac:dyDescent="0.35">
      <c r="B95" s="1"/>
      <c r="C95" s="1"/>
      <c r="D95" s="1"/>
      <c r="E95" s="1"/>
      <c r="F95" s="1"/>
      <c r="G95" s="1"/>
      <c r="H95" s="1"/>
    </row>
    <row r="96" spans="2:8" x14ac:dyDescent="0.35">
      <c r="B96" s="1"/>
      <c r="C96" s="1"/>
      <c r="D96" s="1"/>
      <c r="E96" s="1"/>
      <c r="F96" s="1"/>
      <c r="G96" s="1"/>
      <c r="H96" s="1"/>
    </row>
    <row r="97" spans="2:8" x14ac:dyDescent="0.35">
      <c r="B97" s="1"/>
      <c r="C97" s="1"/>
      <c r="D97" s="1"/>
      <c r="E97" s="1"/>
      <c r="F97" s="1"/>
      <c r="G97" s="1"/>
      <c r="H97" s="1"/>
    </row>
    <row r="98" spans="2:8" x14ac:dyDescent="0.35">
      <c r="B98" s="1"/>
      <c r="C98" s="1"/>
      <c r="D98" s="1"/>
      <c r="E98" s="1"/>
      <c r="F98" s="1"/>
      <c r="G98" s="1"/>
      <c r="H98" s="1"/>
    </row>
    <row r="99" spans="2:8" x14ac:dyDescent="0.35">
      <c r="B99" s="1"/>
      <c r="C99" s="1"/>
      <c r="D99" s="1"/>
      <c r="E99" s="1"/>
      <c r="F99" s="1"/>
      <c r="G99" s="1"/>
      <c r="H99" s="1"/>
    </row>
    <row r="100" spans="2:8" x14ac:dyDescent="0.35">
      <c r="B100" s="1"/>
      <c r="C100" s="1"/>
      <c r="D100" s="1"/>
      <c r="E100" s="1"/>
      <c r="F100" s="1"/>
      <c r="G100" s="1"/>
      <c r="H100" s="1"/>
    </row>
    <row r="101" spans="2:8" x14ac:dyDescent="0.35">
      <c r="B101" s="1"/>
      <c r="C101" s="1"/>
      <c r="D101" s="1"/>
      <c r="E101" s="1"/>
      <c r="F101" s="1"/>
      <c r="G101" s="1"/>
      <c r="H101" s="1"/>
    </row>
    <row r="102" spans="2:8" x14ac:dyDescent="0.35">
      <c r="B102" s="1"/>
      <c r="C102" s="1"/>
      <c r="D102" s="1"/>
      <c r="E102" s="1"/>
      <c r="F102" s="1"/>
      <c r="G102" s="1"/>
      <c r="H102" s="1"/>
    </row>
    <row r="103" spans="2:8" x14ac:dyDescent="0.35">
      <c r="B103" s="1"/>
      <c r="C103" s="1"/>
      <c r="D103" s="1"/>
      <c r="E103" s="1"/>
      <c r="F103" s="1"/>
      <c r="G103" s="1"/>
      <c r="H103" s="1"/>
    </row>
    <row r="104" spans="2:8" x14ac:dyDescent="0.35">
      <c r="B104" s="1"/>
      <c r="C104" s="1"/>
      <c r="D104" s="1"/>
      <c r="E104" s="1"/>
      <c r="F104" s="1"/>
      <c r="G104" s="1"/>
      <c r="H104" s="1"/>
    </row>
    <row r="105" spans="2:8" x14ac:dyDescent="0.35">
      <c r="B105" s="1"/>
      <c r="C105" s="1"/>
      <c r="D105" s="1"/>
      <c r="E105" s="1"/>
      <c r="F105" s="1"/>
      <c r="G105" s="1"/>
      <c r="H105" s="1"/>
    </row>
    <row r="106" spans="2:8" x14ac:dyDescent="0.35">
      <c r="B106" s="1"/>
      <c r="C106" s="1"/>
      <c r="D106" s="1"/>
      <c r="E106" s="1"/>
      <c r="F106" s="1"/>
      <c r="G106" s="1"/>
      <c r="H106" s="1"/>
    </row>
    <row r="107" spans="2:8" x14ac:dyDescent="0.35">
      <c r="B107" s="1"/>
      <c r="C107" s="1"/>
      <c r="D107" s="1"/>
      <c r="E107" s="1"/>
      <c r="F107" s="1"/>
      <c r="G107" s="1"/>
      <c r="H107" s="1"/>
    </row>
    <row r="108" spans="2:8" x14ac:dyDescent="0.35">
      <c r="B108" s="1"/>
      <c r="C108" s="1"/>
      <c r="D108" s="1"/>
      <c r="E108" s="1"/>
      <c r="F108" s="1"/>
      <c r="G108" s="1"/>
      <c r="H108" s="1"/>
    </row>
    <row r="109" spans="2:8" x14ac:dyDescent="0.35">
      <c r="B109" s="1"/>
      <c r="C109" s="1"/>
      <c r="D109" s="1"/>
      <c r="E109" s="1"/>
      <c r="F109" s="1"/>
      <c r="G109" s="1"/>
      <c r="H109" s="1"/>
    </row>
    <row r="110" spans="2:8" x14ac:dyDescent="0.35">
      <c r="B110" s="1"/>
      <c r="C110" s="1"/>
      <c r="D110" s="1"/>
      <c r="E110" s="1"/>
      <c r="F110" s="1"/>
      <c r="G110" s="1"/>
      <c r="H110" s="1"/>
    </row>
    <row r="111" spans="2:8" x14ac:dyDescent="0.35">
      <c r="B111" s="1"/>
      <c r="C111" s="1"/>
      <c r="D111" s="1"/>
      <c r="E111" s="1"/>
      <c r="F111" s="1"/>
      <c r="G111" s="1"/>
      <c r="H111" s="1"/>
    </row>
    <row r="112" spans="2:8" x14ac:dyDescent="0.35">
      <c r="B112" s="1"/>
      <c r="C112" s="1"/>
      <c r="D112" s="1"/>
      <c r="E112" s="1"/>
      <c r="F112" s="1"/>
      <c r="G112" s="1"/>
      <c r="H112" s="1"/>
    </row>
    <row r="113" spans="2:8" x14ac:dyDescent="0.35">
      <c r="B113" s="1"/>
      <c r="C113" s="1"/>
      <c r="D113" s="1"/>
      <c r="E113" s="1"/>
      <c r="F113" s="1"/>
      <c r="G113" s="1"/>
      <c r="H113" s="1"/>
    </row>
    <row r="114" spans="2:8" x14ac:dyDescent="0.35">
      <c r="B114" s="1"/>
      <c r="C114" s="1"/>
      <c r="D114" s="1"/>
      <c r="E114" s="1"/>
      <c r="F114" s="1"/>
      <c r="G114" s="1"/>
      <c r="H114" s="1"/>
    </row>
    <row r="115" spans="2:8" x14ac:dyDescent="0.35">
      <c r="B115" s="1"/>
      <c r="C115" s="1"/>
      <c r="D115" s="1"/>
      <c r="E115" s="1"/>
      <c r="F115" s="1"/>
      <c r="G115" s="1"/>
      <c r="H115" s="1"/>
    </row>
    <row r="116" spans="2:8" x14ac:dyDescent="0.35">
      <c r="B116" s="1"/>
      <c r="C116" s="1"/>
      <c r="D116" s="1"/>
      <c r="E116" s="1"/>
      <c r="F116" s="1"/>
      <c r="G116" s="1"/>
      <c r="H116" s="1"/>
    </row>
    <row r="117" spans="2:8" x14ac:dyDescent="0.35">
      <c r="B117" s="1"/>
      <c r="C117" s="1"/>
      <c r="D117" s="1"/>
      <c r="E117" s="1"/>
      <c r="F117" s="1"/>
      <c r="G117" s="1"/>
      <c r="H117" s="1"/>
    </row>
    <row r="118" spans="2:8" x14ac:dyDescent="0.35">
      <c r="B118" s="1"/>
      <c r="C118" s="1"/>
      <c r="D118" s="1"/>
      <c r="E118" s="1"/>
      <c r="F118" s="1"/>
      <c r="G118" s="1"/>
      <c r="H118" s="1"/>
    </row>
    <row r="119" spans="2:8" x14ac:dyDescent="0.35">
      <c r="B119" s="1"/>
      <c r="C119" s="1"/>
      <c r="D119" s="1"/>
      <c r="E119" s="1"/>
      <c r="F119" s="1"/>
      <c r="G119" s="1"/>
      <c r="H119" s="1"/>
    </row>
    <row r="120" spans="2:8" x14ac:dyDescent="0.35">
      <c r="B120" s="1"/>
      <c r="C120" s="1"/>
      <c r="D120" s="1"/>
      <c r="E120" s="1"/>
      <c r="F120" s="1"/>
      <c r="G120" s="1"/>
      <c r="H120" s="1"/>
    </row>
    <row r="121" spans="2:8" x14ac:dyDescent="0.35">
      <c r="B121" s="1"/>
      <c r="C121" s="1"/>
      <c r="D121" s="1"/>
      <c r="E121" s="1"/>
      <c r="F121" s="1"/>
      <c r="G121" s="1"/>
      <c r="H121" s="1"/>
    </row>
    <row r="122" spans="2:8" x14ac:dyDescent="0.35">
      <c r="B122" s="1"/>
      <c r="C122" s="1"/>
      <c r="D122" s="1"/>
      <c r="E122" s="1"/>
      <c r="F122" s="1"/>
      <c r="G122" s="1"/>
      <c r="H122" s="1"/>
    </row>
    <row r="123" spans="2:8" x14ac:dyDescent="0.35">
      <c r="B123" s="1"/>
      <c r="C123" s="1"/>
      <c r="D123" s="1"/>
      <c r="E123" s="1"/>
      <c r="F123" s="1"/>
      <c r="G123" s="1"/>
      <c r="H123" s="1"/>
    </row>
    <row r="124" spans="2:8" x14ac:dyDescent="0.35">
      <c r="B124" s="1"/>
      <c r="C124" s="1"/>
      <c r="D124" s="1"/>
      <c r="E124" s="1"/>
      <c r="F124" s="1"/>
      <c r="G124" s="1"/>
      <c r="H124" s="1"/>
    </row>
    <row r="125" spans="2:8" x14ac:dyDescent="0.35">
      <c r="B125" s="1"/>
      <c r="C125" s="1"/>
      <c r="D125" s="1"/>
      <c r="E125" s="1"/>
      <c r="F125" s="1"/>
      <c r="G125" s="1"/>
      <c r="H125" s="1"/>
    </row>
    <row r="126" spans="2:8" x14ac:dyDescent="0.35">
      <c r="B126" s="1"/>
      <c r="C126" s="1"/>
      <c r="D126" s="1"/>
      <c r="E126" s="1"/>
      <c r="F126" s="1"/>
      <c r="G126" s="1"/>
      <c r="H126" s="1"/>
    </row>
    <row r="127" spans="2:8" x14ac:dyDescent="0.35">
      <c r="B127" s="1"/>
      <c r="C127" s="1"/>
      <c r="D127" s="1"/>
      <c r="E127" s="1"/>
      <c r="F127" s="1"/>
      <c r="G127" s="1"/>
      <c r="H127" s="1"/>
    </row>
    <row r="128" spans="2:8" x14ac:dyDescent="0.35">
      <c r="B128" s="1"/>
      <c r="C128" s="1"/>
      <c r="D128" s="1"/>
      <c r="E128" s="1"/>
      <c r="F128" s="1"/>
      <c r="G128" s="1"/>
      <c r="H128" s="1"/>
    </row>
    <row r="129" spans="2:8" x14ac:dyDescent="0.35">
      <c r="B129" s="1"/>
      <c r="C129" s="1"/>
      <c r="D129" s="1"/>
      <c r="E129" s="1"/>
      <c r="F129" s="1"/>
      <c r="G129" s="1"/>
      <c r="H129" s="1"/>
    </row>
    <row r="130" spans="2:8" x14ac:dyDescent="0.35">
      <c r="B130" s="1"/>
      <c r="C130" s="1"/>
      <c r="D130" s="1"/>
      <c r="E130" s="1"/>
      <c r="F130" s="1"/>
      <c r="G130" s="1"/>
      <c r="H130" s="1"/>
    </row>
    <row r="131" spans="2:8" x14ac:dyDescent="0.35">
      <c r="B131" s="1"/>
      <c r="C131" s="1"/>
      <c r="D131" s="1"/>
      <c r="E131" s="1"/>
      <c r="F131" s="1"/>
      <c r="G131" s="1"/>
      <c r="H131" s="1"/>
    </row>
    <row r="132" spans="2:8" x14ac:dyDescent="0.35">
      <c r="B132" s="1"/>
      <c r="C132" s="1"/>
      <c r="D132" s="1"/>
      <c r="E132" s="1"/>
      <c r="F132" s="1"/>
      <c r="G132" s="1"/>
      <c r="H132" s="1"/>
    </row>
    <row r="133" spans="2:8" x14ac:dyDescent="0.35">
      <c r="B133" s="1"/>
      <c r="C133" s="1"/>
      <c r="D133" s="1"/>
      <c r="E133" s="1"/>
      <c r="F133" s="1"/>
      <c r="G133" s="1"/>
      <c r="H133" s="1"/>
    </row>
    <row r="134" spans="2:8" x14ac:dyDescent="0.35">
      <c r="B134" s="1"/>
      <c r="C134" s="1"/>
      <c r="D134" s="1"/>
      <c r="E134" s="1"/>
      <c r="F134" s="1"/>
      <c r="G134" s="1"/>
      <c r="H134" s="1"/>
    </row>
    <row r="135" spans="2:8" x14ac:dyDescent="0.35">
      <c r="B135" s="1"/>
      <c r="C135" s="1"/>
      <c r="D135" s="1"/>
      <c r="E135" s="1"/>
      <c r="F135" s="1"/>
      <c r="G135" s="1"/>
      <c r="H135" s="1"/>
    </row>
    <row r="136" spans="2:8" x14ac:dyDescent="0.35">
      <c r="B136" s="1"/>
      <c r="C136" s="1"/>
      <c r="D136" s="1"/>
      <c r="E136" s="1"/>
      <c r="F136" s="1"/>
      <c r="G136" s="1"/>
      <c r="H136" s="1"/>
    </row>
    <row r="137" spans="2:8" x14ac:dyDescent="0.35">
      <c r="B137" s="1"/>
      <c r="C137" s="1"/>
      <c r="D137" s="1"/>
      <c r="E137" s="1"/>
      <c r="F137" s="1"/>
      <c r="G137" s="1"/>
      <c r="H137" s="1"/>
    </row>
    <row r="138" spans="2:8" x14ac:dyDescent="0.35">
      <c r="B138" s="1"/>
      <c r="C138" s="1"/>
      <c r="D138" s="1"/>
      <c r="E138" s="1"/>
      <c r="F138" s="1"/>
      <c r="G138" s="1"/>
      <c r="H138" s="1"/>
    </row>
    <row r="139" spans="2:8" x14ac:dyDescent="0.35">
      <c r="B139" s="1"/>
      <c r="C139" s="1"/>
      <c r="D139" s="1"/>
      <c r="E139" s="1"/>
      <c r="F139" s="1"/>
      <c r="G139" s="1"/>
      <c r="H139" s="1"/>
    </row>
    <row r="140" spans="2:8" x14ac:dyDescent="0.35">
      <c r="B140" s="1"/>
      <c r="C140" s="1"/>
      <c r="D140" s="1"/>
      <c r="E140" s="1"/>
      <c r="F140" s="1"/>
      <c r="G140" s="1"/>
      <c r="H140" s="1"/>
    </row>
    <row r="141" spans="2:8" x14ac:dyDescent="0.35">
      <c r="B141" s="1"/>
      <c r="C141" s="1"/>
      <c r="D141" s="1"/>
      <c r="E141" s="1"/>
      <c r="F141" s="1"/>
      <c r="G141" s="1"/>
      <c r="H141" s="1"/>
    </row>
    <row r="142" spans="2:8" x14ac:dyDescent="0.35">
      <c r="B142" s="1"/>
      <c r="C142" s="1"/>
      <c r="D142" s="1"/>
      <c r="E142" s="1"/>
      <c r="F142" s="1"/>
      <c r="G142" s="1"/>
      <c r="H142" s="1"/>
    </row>
    <row r="143" spans="2:8" x14ac:dyDescent="0.35">
      <c r="B143" s="1"/>
      <c r="C143" s="1"/>
      <c r="D143" s="1"/>
      <c r="E143" s="1"/>
      <c r="F143" s="1"/>
      <c r="G143" s="1"/>
      <c r="H143" s="1"/>
    </row>
    <row r="144" spans="2:8" x14ac:dyDescent="0.35">
      <c r="B144" s="1"/>
      <c r="C144" s="1"/>
      <c r="D144" s="1"/>
      <c r="E144" s="1"/>
      <c r="F144" s="1"/>
      <c r="G144" s="1"/>
      <c r="H144" s="1"/>
    </row>
    <row r="145" spans="2:8" x14ac:dyDescent="0.35">
      <c r="B145" s="1"/>
      <c r="C145" s="1"/>
      <c r="D145" s="1"/>
      <c r="E145" s="1"/>
      <c r="F145" s="1"/>
      <c r="G145" s="1"/>
      <c r="H145" s="1"/>
    </row>
    <row r="146" spans="2:8" x14ac:dyDescent="0.35">
      <c r="B146" s="1"/>
      <c r="C146" s="1"/>
      <c r="D146" s="1"/>
      <c r="E146" s="1"/>
      <c r="F146" s="1"/>
      <c r="G146" s="1"/>
      <c r="H146" s="1"/>
    </row>
    <row r="147" spans="2:8" x14ac:dyDescent="0.35">
      <c r="B147" s="1"/>
      <c r="C147" s="1"/>
      <c r="D147" s="1"/>
      <c r="E147" s="1"/>
      <c r="F147" s="1"/>
      <c r="G147" s="1"/>
      <c r="H147" s="1"/>
    </row>
    <row r="148" spans="2:8" x14ac:dyDescent="0.35">
      <c r="B148" s="1"/>
      <c r="C148" s="1"/>
      <c r="D148" s="1"/>
      <c r="E148" s="1"/>
      <c r="F148" s="1"/>
      <c r="G148" s="1"/>
      <c r="H148" s="1"/>
    </row>
    <row r="149" spans="2:8" x14ac:dyDescent="0.35">
      <c r="B149" s="1"/>
      <c r="C149" s="1"/>
      <c r="D149" s="1"/>
      <c r="E149" s="1"/>
      <c r="F149" s="1"/>
      <c r="G149" s="1"/>
      <c r="H149" s="1"/>
    </row>
    <row r="150" spans="2:8" x14ac:dyDescent="0.35">
      <c r="B150" s="1"/>
      <c r="C150" s="1"/>
      <c r="D150" s="1"/>
      <c r="E150" s="1"/>
      <c r="F150" s="1"/>
      <c r="G150" s="1"/>
      <c r="H150" s="1"/>
    </row>
    <row r="151" spans="2:8" x14ac:dyDescent="0.35">
      <c r="B151" s="1"/>
      <c r="C151" s="1"/>
      <c r="D151" s="1"/>
      <c r="E151" s="1"/>
      <c r="F151" s="1"/>
      <c r="G151" s="1"/>
      <c r="H151" s="1"/>
    </row>
    <row r="152" spans="2:8" x14ac:dyDescent="0.35">
      <c r="B152" s="1"/>
      <c r="C152" s="1"/>
      <c r="D152" s="1"/>
      <c r="E152" s="1"/>
      <c r="F152" s="1"/>
      <c r="G152" s="1"/>
      <c r="H152" s="1"/>
    </row>
    <row r="153" spans="2:8" x14ac:dyDescent="0.35">
      <c r="B153" s="1"/>
      <c r="C153" s="1"/>
      <c r="D153" s="1"/>
      <c r="E153" s="1"/>
      <c r="F153" s="1"/>
      <c r="G153" s="1"/>
      <c r="H153" s="1"/>
    </row>
    <row r="154" spans="2:8" x14ac:dyDescent="0.35">
      <c r="B154" s="1"/>
      <c r="C154" s="1"/>
      <c r="D154" s="1"/>
      <c r="E154" s="1"/>
      <c r="F154" s="1"/>
      <c r="G154" s="1"/>
      <c r="H154" s="1"/>
    </row>
    <row r="155" spans="2:8" x14ac:dyDescent="0.35">
      <c r="B155" s="1"/>
      <c r="C155" s="1"/>
      <c r="D155" s="1"/>
      <c r="E155" s="1"/>
      <c r="F155" s="1"/>
      <c r="G155" s="1"/>
      <c r="H155" s="1"/>
    </row>
    <row r="156" spans="2:8" x14ac:dyDescent="0.35">
      <c r="B156" s="1"/>
      <c r="C156" s="1"/>
      <c r="D156" s="1"/>
      <c r="E156" s="1"/>
      <c r="F156" s="1"/>
      <c r="G156" s="1"/>
      <c r="H156" s="1"/>
    </row>
    <row r="157" spans="2:8" x14ac:dyDescent="0.35">
      <c r="B157" s="1"/>
      <c r="C157" s="1"/>
      <c r="D157" s="1"/>
      <c r="E157" s="1"/>
      <c r="F157" s="1"/>
      <c r="G157" s="1"/>
      <c r="H157" s="1"/>
    </row>
    <row r="158" spans="2:8" x14ac:dyDescent="0.35">
      <c r="B158" s="1"/>
      <c r="C158" s="1"/>
      <c r="D158" s="1"/>
      <c r="E158" s="1"/>
      <c r="F158" s="1"/>
      <c r="G158" s="1"/>
      <c r="H158" s="1"/>
    </row>
    <row r="159" spans="2:8" x14ac:dyDescent="0.35">
      <c r="B159" s="1"/>
      <c r="C159" s="1"/>
      <c r="D159" s="1"/>
      <c r="E159" s="1"/>
      <c r="F159" s="1"/>
      <c r="G159" s="1"/>
      <c r="H159" s="1"/>
    </row>
    <row r="160" spans="2:8" x14ac:dyDescent="0.35">
      <c r="B160" s="1"/>
      <c r="C160" s="1"/>
      <c r="D160" s="1"/>
      <c r="E160" s="1"/>
      <c r="F160" s="1"/>
      <c r="G160" s="1"/>
      <c r="H160" s="1"/>
    </row>
    <row r="161" spans="2:8" x14ac:dyDescent="0.35">
      <c r="B161" s="1"/>
      <c r="C161" s="1"/>
      <c r="D161" s="1"/>
      <c r="E161" s="1"/>
      <c r="F161" s="1"/>
      <c r="G161" s="1"/>
      <c r="H161" s="1"/>
    </row>
    <row r="162" spans="2:8" x14ac:dyDescent="0.35">
      <c r="B162" s="1"/>
      <c r="C162" s="1"/>
      <c r="D162" s="1"/>
      <c r="E162" s="1"/>
      <c r="F162" s="1"/>
      <c r="G162" s="1"/>
      <c r="H162" s="1"/>
    </row>
    <row r="163" spans="2:8" x14ac:dyDescent="0.35">
      <c r="B163" s="1"/>
      <c r="C163" s="1"/>
      <c r="D163" s="1"/>
      <c r="E163" s="1"/>
      <c r="F163" s="1"/>
      <c r="G163" s="1"/>
      <c r="H163" s="1"/>
    </row>
    <row r="164" spans="2:8" x14ac:dyDescent="0.35">
      <c r="B164" s="1"/>
      <c r="C164" s="1"/>
      <c r="D164" s="1"/>
      <c r="E164" s="1"/>
      <c r="F164" s="1"/>
      <c r="G164" s="1"/>
      <c r="H164" s="1"/>
    </row>
    <row r="165" spans="2:8" x14ac:dyDescent="0.35">
      <c r="B165" s="1"/>
      <c r="C165" s="1"/>
      <c r="D165" s="1"/>
      <c r="E165" s="1"/>
      <c r="F165" s="1"/>
      <c r="G165" s="1"/>
      <c r="H165" s="1"/>
    </row>
    <row r="166" spans="2:8" x14ac:dyDescent="0.35">
      <c r="B166" s="1"/>
      <c r="C166" s="1"/>
      <c r="D166" s="1"/>
      <c r="E166" s="1"/>
      <c r="F166" s="1"/>
      <c r="G166" s="1"/>
      <c r="H166" s="1"/>
    </row>
    <row r="167" spans="2:8" x14ac:dyDescent="0.35">
      <c r="B167" s="1"/>
      <c r="C167" s="1"/>
      <c r="D167" s="1"/>
      <c r="E167" s="1"/>
      <c r="F167" s="1"/>
      <c r="G167" s="1"/>
      <c r="H167" s="1"/>
    </row>
    <row r="168" spans="2:8" x14ac:dyDescent="0.35">
      <c r="B168" s="1"/>
      <c r="C168" s="1"/>
      <c r="D168" s="1"/>
      <c r="E168" s="1"/>
      <c r="F168" s="1"/>
      <c r="G168" s="1"/>
      <c r="H168" s="1"/>
    </row>
    <row r="169" spans="2:8" x14ac:dyDescent="0.35">
      <c r="B169" s="1"/>
      <c r="C169" s="1"/>
      <c r="D169" s="1"/>
      <c r="E169" s="1"/>
      <c r="F169" s="1"/>
      <c r="G169" s="1"/>
      <c r="H169" s="1"/>
    </row>
    <row r="170" spans="2:8" x14ac:dyDescent="0.35">
      <c r="B170" s="1"/>
      <c r="C170" s="1"/>
      <c r="D170" s="1"/>
      <c r="E170" s="1"/>
      <c r="F170" s="1"/>
      <c r="G170" s="1"/>
      <c r="H170" s="1"/>
    </row>
    <row r="171" spans="2:8" x14ac:dyDescent="0.35">
      <c r="B171" s="1"/>
      <c r="C171" s="1"/>
      <c r="D171" s="1"/>
      <c r="E171" s="1"/>
      <c r="F171" s="1"/>
      <c r="G171" s="1"/>
      <c r="H171" s="1"/>
    </row>
    <row r="172" spans="2:8" x14ac:dyDescent="0.35">
      <c r="B172" s="1"/>
      <c r="C172" s="1"/>
      <c r="D172" s="1"/>
      <c r="E172" s="1"/>
      <c r="F172" s="1"/>
      <c r="G172" s="1"/>
      <c r="H172" s="1"/>
    </row>
    <row r="173" spans="2:8" x14ac:dyDescent="0.35">
      <c r="B173" s="1"/>
      <c r="C173" s="1"/>
      <c r="D173" s="1"/>
      <c r="E173" s="1"/>
      <c r="F173" s="1"/>
      <c r="G173" s="1"/>
      <c r="H173" s="1"/>
    </row>
    <row r="174" spans="2:8" x14ac:dyDescent="0.35">
      <c r="B174" s="1"/>
      <c r="C174" s="1"/>
      <c r="D174" s="1"/>
      <c r="E174" s="1"/>
      <c r="F174" s="1"/>
      <c r="G174" s="1"/>
      <c r="H174" s="1"/>
    </row>
    <row r="175" spans="2:8" x14ac:dyDescent="0.35">
      <c r="B175" s="1"/>
      <c r="C175" s="1"/>
      <c r="D175" s="1"/>
      <c r="E175" s="1"/>
      <c r="F175" s="1"/>
      <c r="G175" s="1"/>
      <c r="H175" s="1"/>
    </row>
    <row r="176" spans="2:8" x14ac:dyDescent="0.35">
      <c r="B176" s="1"/>
      <c r="C176" s="1"/>
      <c r="D176" s="1"/>
      <c r="E176" s="1"/>
      <c r="F176" s="1"/>
      <c r="G176" s="1"/>
      <c r="H176" s="1"/>
    </row>
    <row r="177" spans="2:8" x14ac:dyDescent="0.35">
      <c r="B177" s="1"/>
      <c r="C177" s="1"/>
      <c r="D177" s="1"/>
      <c r="E177" s="1"/>
      <c r="F177" s="1"/>
      <c r="G177" s="1"/>
      <c r="H177" s="1"/>
    </row>
    <row r="178" spans="2:8" x14ac:dyDescent="0.35">
      <c r="B178" s="1"/>
      <c r="C178" s="1"/>
      <c r="D178" s="1"/>
      <c r="E178" s="1"/>
      <c r="F178" s="1"/>
      <c r="G178" s="1"/>
      <c r="H178" s="1"/>
    </row>
    <row r="179" spans="2:8" x14ac:dyDescent="0.35">
      <c r="B179" s="1"/>
      <c r="C179" s="1"/>
      <c r="D179" s="1"/>
      <c r="E179" s="1"/>
      <c r="F179" s="1"/>
      <c r="G179" s="1"/>
      <c r="H179" s="1"/>
    </row>
    <row r="180" spans="2:8" x14ac:dyDescent="0.35">
      <c r="B180" s="1"/>
      <c r="C180" s="1"/>
      <c r="D180" s="1"/>
      <c r="E180" s="1"/>
      <c r="F180" s="1"/>
      <c r="G180" s="1"/>
      <c r="H180" s="1"/>
    </row>
    <row r="181" spans="2:8" x14ac:dyDescent="0.35">
      <c r="B181" s="1"/>
      <c r="C181" s="1"/>
      <c r="D181" s="1"/>
      <c r="E181" s="1"/>
      <c r="F181" s="1"/>
      <c r="G181" s="1"/>
      <c r="H181" s="1"/>
    </row>
    <row r="182" spans="2:8" x14ac:dyDescent="0.35">
      <c r="B182" s="1"/>
      <c r="C182" s="1"/>
      <c r="D182" s="1"/>
      <c r="E182" s="1"/>
      <c r="F182" s="1"/>
      <c r="G182" s="1"/>
      <c r="H182" s="1"/>
    </row>
    <row r="183" spans="2:8" x14ac:dyDescent="0.35">
      <c r="B183" s="1"/>
      <c r="C183" s="1"/>
      <c r="D183" s="1"/>
      <c r="E183" s="1"/>
      <c r="F183" s="1"/>
      <c r="G183" s="1"/>
      <c r="H183" s="1"/>
    </row>
    <row r="184" spans="2:8" x14ac:dyDescent="0.35">
      <c r="B184" s="1"/>
      <c r="C184" s="1"/>
      <c r="D184" s="1"/>
      <c r="E184" s="1"/>
      <c r="F184" s="1"/>
      <c r="G184" s="1"/>
      <c r="H184" s="1"/>
    </row>
    <row r="185" spans="2:8" x14ac:dyDescent="0.35">
      <c r="B185" s="1"/>
      <c r="C185" s="1"/>
      <c r="D185" s="1"/>
      <c r="E185" s="1"/>
      <c r="F185" s="1"/>
      <c r="G185" s="1"/>
      <c r="H185" s="1"/>
    </row>
    <row r="186" spans="2:8" x14ac:dyDescent="0.35">
      <c r="B186" s="1"/>
      <c r="C186" s="1"/>
      <c r="D186" s="1"/>
      <c r="E186" s="1"/>
      <c r="F186" s="1"/>
      <c r="G186" s="1"/>
      <c r="H186" s="1"/>
    </row>
    <row r="187" spans="2:8" x14ac:dyDescent="0.35">
      <c r="B187" s="1"/>
      <c r="C187" s="1"/>
      <c r="D187" s="1"/>
      <c r="E187" s="1"/>
      <c r="F187" s="1"/>
      <c r="G187" s="1"/>
      <c r="H187" s="1"/>
    </row>
    <row r="188" spans="2:8" x14ac:dyDescent="0.35">
      <c r="B188" s="1"/>
      <c r="C188" s="1"/>
      <c r="D188" s="1"/>
      <c r="E188" s="1"/>
      <c r="F188" s="1"/>
      <c r="G188" s="1"/>
      <c r="H188" s="1"/>
    </row>
    <row r="189" spans="2:8" x14ac:dyDescent="0.35">
      <c r="B189" s="1"/>
      <c r="C189" s="1"/>
      <c r="D189" s="1"/>
      <c r="E189" s="1"/>
      <c r="F189" s="1"/>
      <c r="G189" s="1"/>
      <c r="H189" s="1"/>
    </row>
    <row r="190" spans="2:8" x14ac:dyDescent="0.35">
      <c r="B190" s="1"/>
      <c r="C190" s="1"/>
      <c r="D190" s="1"/>
      <c r="E190" s="1"/>
      <c r="F190" s="1"/>
      <c r="G190" s="1"/>
      <c r="H190" s="1"/>
    </row>
    <row r="191" spans="2:8" x14ac:dyDescent="0.35">
      <c r="B191" s="1"/>
      <c r="C191" s="1"/>
      <c r="D191" s="1"/>
      <c r="E191" s="1"/>
      <c r="F191" s="1"/>
      <c r="G191" s="1"/>
      <c r="H191" s="1"/>
    </row>
    <row r="192" spans="2:8" x14ac:dyDescent="0.35">
      <c r="B192" s="1"/>
      <c r="C192" s="1"/>
      <c r="D192" s="1"/>
      <c r="E192" s="1"/>
      <c r="F192" s="1"/>
      <c r="G192" s="1"/>
      <c r="H192" s="1"/>
    </row>
    <row r="193" spans="2:8" x14ac:dyDescent="0.35">
      <c r="B193" s="1"/>
      <c r="C193" s="1"/>
      <c r="D193" s="1"/>
      <c r="E193" s="1"/>
      <c r="F193" s="1"/>
      <c r="G193" s="1"/>
      <c r="H193" s="1"/>
    </row>
    <row r="194" spans="2:8" x14ac:dyDescent="0.35">
      <c r="B194" s="1"/>
      <c r="C194" s="1"/>
      <c r="D194" s="1"/>
      <c r="E194" s="1"/>
      <c r="F194" s="1"/>
      <c r="G194" s="1"/>
      <c r="H194" s="1"/>
    </row>
    <row r="195" spans="2:8" x14ac:dyDescent="0.35">
      <c r="B195" s="1"/>
      <c r="C195" s="1"/>
      <c r="D195" s="1"/>
      <c r="E195" s="1"/>
      <c r="F195" s="1"/>
      <c r="G195" s="1"/>
      <c r="H195" s="1"/>
    </row>
    <row r="196" spans="2:8" x14ac:dyDescent="0.35">
      <c r="B196" s="1"/>
      <c r="C196" s="1"/>
      <c r="D196" s="1"/>
      <c r="E196" s="1"/>
      <c r="F196" s="1"/>
      <c r="G196" s="1"/>
      <c r="H196" s="1"/>
    </row>
    <row r="197" spans="2:8" x14ac:dyDescent="0.35">
      <c r="B197" s="1"/>
      <c r="C197" s="1"/>
      <c r="D197" s="1"/>
      <c r="E197" s="1"/>
      <c r="F197" s="1"/>
      <c r="G197" s="1"/>
      <c r="H197" s="1"/>
    </row>
    <row r="198" spans="2:8" x14ac:dyDescent="0.35">
      <c r="B198" s="1"/>
      <c r="C198" s="1"/>
      <c r="D198" s="1"/>
      <c r="E198" s="1"/>
      <c r="F198" s="1"/>
      <c r="G198" s="1"/>
      <c r="H198" s="1"/>
    </row>
    <row r="199" spans="2:8" x14ac:dyDescent="0.35">
      <c r="B199" s="1"/>
      <c r="C199" s="1"/>
      <c r="D199" s="1"/>
      <c r="E199" s="1"/>
      <c r="F199" s="1"/>
      <c r="G199" s="1"/>
      <c r="H199" s="1"/>
    </row>
    <row r="200" spans="2:8" x14ac:dyDescent="0.35">
      <c r="B200" s="1"/>
      <c r="C200" s="1"/>
      <c r="D200" s="1"/>
      <c r="E200" s="1"/>
      <c r="F200" s="1"/>
      <c r="G200" s="1"/>
      <c r="H200" s="1"/>
    </row>
    <row r="201" spans="2:8" x14ac:dyDescent="0.35">
      <c r="B201" s="1"/>
      <c r="C201" s="1"/>
      <c r="D201" s="1"/>
      <c r="E201" s="1"/>
      <c r="F201" s="1"/>
      <c r="G201" s="1"/>
      <c r="H201" s="1"/>
    </row>
    <row r="202" spans="2:8" x14ac:dyDescent="0.35">
      <c r="B202" s="1"/>
      <c r="C202" s="1"/>
      <c r="D202" s="1"/>
      <c r="E202" s="1"/>
      <c r="F202" s="1"/>
      <c r="G202" s="1"/>
      <c r="H202" s="1"/>
    </row>
    <row r="203" spans="2:8" x14ac:dyDescent="0.35">
      <c r="B203" s="1"/>
      <c r="C203" s="1"/>
      <c r="D203" s="1"/>
      <c r="E203" s="1"/>
      <c r="F203" s="1"/>
      <c r="G203" s="1"/>
      <c r="H203" s="1"/>
    </row>
    <row r="204" spans="2:8" x14ac:dyDescent="0.35">
      <c r="B204" s="1"/>
      <c r="C204" s="1"/>
      <c r="D204" s="1"/>
      <c r="E204" s="1"/>
      <c r="F204" s="1"/>
      <c r="G204" s="1"/>
      <c r="H204" s="1"/>
    </row>
    <row r="205" spans="2:8" x14ac:dyDescent="0.35">
      <c r="B205" s="1"/>
      <c r="C205" s="1"/>
      <c r="D205" s="1"/>
      <c r="E205" s="1"/>
      <c r="F205" s="1"/>
      <c r="G205" s="1"/>
      <c r="H205" s="1"/>
    </row>
    <row r="206" spans="2:8" x14ac:dyDescent="0.35">
      <c r="B206" s="1"/>
      <c r="C206" s="1"/>
      <c r="D206" s="1"/>
      <c r="E206" s="1"/>
      <c r="F206" s="1"/>
      <c r="G206" s="1"/>
      <c r="H206" s="1"/>
    </row>
    <row r="207" spans="2:8" x14ac:dyDescent="0.35">
      <c r="B207" s="1"/>
      <c r="C207" s="1"/>
      <c r="D207" s="1"/>
      <c r="E207" s="1"/>
      <c r="F207" s="1"/>
      <c r="G207" s="1"/>
      <c r="H207" s="1"/>
    </row>
    <row r="208" spans="2:8" x14ac:dyDescent="0.35">
      <c r="B208" s="1"/>
      <c r="C208" s="1"/>
      <c r="D208" s="1"/>
      <c r="E208" s="1"/>
      <c r="F208" s="1"/>
      <c r="G208" s="1"/>
      <c r="H208" s="1"/>
    </row>
    <row r="209" spans="2:8" x14ac:dyDescent="0.35">
      <c r="B209" s="1"/>
      <c r="C209" s="1"/>
      <c r="D209" s="1"/>
      <c r="E209" s="1"/>
      <c r="F209" s="1"/>
      <c r="G209" s="1"/>
      <c r="H209" s="1"/>
    </row>
    <row r="210" spans="2:8" x14ac:dyDescent="0.35">
      <c r="B210" s="1"/>
      <c r="C210" s="1"/>
      <c r="D210" s="1"/>
      <c r="E210" s="1"/>
      <c r="F210" s="1"/>
      <c r="G210" s="1"/>
      <c r="H210" s="1"/>
    </row>
    <row r="211" spans="2:8" x14ac:dyDescent="0.35">
      <c r="B211" s="1"/>
      <c r="C211" s="1"/>
      <c r="D211" s="1"/>
      <c r="E211" s="1"/>
      <c r="F211" s="1"/>
      <c r="G211" s="1"/>
      <c r="H211" s="1"/>
    </row>
    <row r="212" spans="2:8" x14ac:dyDescent="0.35">
      <c r="B212" s="1"/>
      <c r="C212" s="1"/>
      <c r="D212" s="1"/>
      <c r="E212" s="1"/>
      <c r="F212" s="1"/>
      <c r="G212" s="1"/>
      <c r="H212" s="1"/>
    </row>
    <row r="213" spans="2:8" x14ac:dyDescent="0.35">
      <c r="B213" s="1"/>
      <c r="C213" s="1"/>
      <c r="D213" s="1"/>
      <c r="E213" s="1"/>
      <c r="F213" s="1"/>
      <c r="G213" s="1"/>
      <c r="H213" s="1"/>
    </row>
    <row r="214" spans="2:8" x14ac:dyDescent="0.35">
      <c r="B214" s="1"/>
      <c r="C214" s="1"/>
      <c r="D214" s="1"/>
      <c r="E214" s="1"/>
      <c r="F214" s="1"/>
      <c r="G214" s="1"/>
      <c r="H214" s="1"/>
    </row>
    <row r="215" spans="2:8" x14ac:dyDescent="0.35">
      <c r="B215" s="1"/>
      <c r="C215" s="1"/>
      <c r="D215" s="1"/>
      <c r="E215" s="1"/>
      <c r="F215" s="1"/>
      <c r="G215" s="1"/>
      <c r="H215" s="1"/>
    </row>
    <row r="216" spans="2:8" x14ac:dyDescent="0.35">
      <c r="B216" s="1"/>
      <c r="C216" s="1"/>
      <c r="D216" s="1"/>
      <c r="E216" s="1"/>
      <c r="F216" s="1"/>
      <c r="G216" s="1"/>
      <c r="H216" s="1"/>
    </row>
    <row r="217" spans="2:8" x14ac:dyDescent="0.35">
      <c r="B217" s="1"/>
      <c r="C217" s="1"/>
      <c r="D217" s="1"/>
      <c r="E217" s="1"/>
      <c r="F217" s="1"/>
      <c r="G217" s="1"/>
      <c r="H217" s="1"/>
    </row>
    <row r="218" spans="2:8" x14ac:dyDescent="0.35">
      <c r="B218" s="1"/>
      <c r="C218" s="1"/>
      <c r="D218" s="1"/>
      <c r="E218" s="1"/>
      <c r="F218" s="1"/>
      <c r="G218" s="1"/>
      <c r="H218" s="1"/>
    </row>
    <row r="219" spans="2:8" x14ac:dyDescent="0.35">
      <c r="B219" s="1"/>
      <c r="C219" s="1"/>
      <c r="D219" s="1"/>
      <c r="E219" s="1"/>
      <c r="F219" s="1"/>
      <c r="G219" s="1"/>
      <c r="H219" s="1"/>
    </row>
    <row r="220" spans="2:8" x14ac:dyDescent="0.35">
      <c r="B220" s="1"/>
      <c r="C220" s="1"/>
      <c r="D220" s="1"/>
      <c r="E220" s="1"/>
      <c r="F220" s="1"/>
      <c r="G220" s="1"/>
      <c r="H220" s="1"/>
    </row>
    <row r="221" spans="2:8" x14ac:dyDescent="0.35">
      <c r="B221" s="1"/>
      <c r="C221" s="1"/>
      <c r="D221" s="1"/>
      <c r="E221" s="1"/>
      <c r="F221" s="1"/>
      <c r="G221" s="1"/>
      <c r="H221" s="1"/>
    </row>
    <row r="222" spans="2:8" x14ac:dyDescent="0.35">
      <c r="B222" s="1"/>
      <c r="C222" s="1"/>
      <c r="D222" s="1"/>
      <c r="E222" s="1"/>
      <c r="F222" s="1"/>
      <c r="G222" s="1"/>
      <c r="H222" s="1"/>
    </row>
    <row r="223" spans="2:8" x14ac:dyDescent="0.35">
      <c r="B223" s="1"/>
      <c r="C223" s="1"/>
      <c r="D223" s="1"/>
      <c r="E223" s="1"/>
      <c r="F223" s="1"/>
      <c r="G223" s="1"/>
      <c r="H223" s="1"/>
    </row>
    <row r="224" spans="2:8" x14ac:dyDescent="0.35">
      <c r="B224" s="1"/>
      <c r="C224" s="1"/>
      <c r="D224" s="1"/>
      <c r="E224" s="1"/>
      <c r="F224" s="1"/>
      <c r="G224" s="1"/>
      <c r="H224" s="1"/>
    </row>
    <row r="225" spans="2:8" x14ac:dyDescent="0.35">
      <c r="B225" s="1"/>
      <c r="C225" s="1"/>
      <c r="D225" s="1"/>
      <c r="E225" s="1"/>
      <c r="F225" s="1"/>
      <c r="G225" s="1"/>
      <c r="H225" s="1"/>
    </row>
    <row r="226" spans="2:8" x14ac:dyDescent="0.35">
      <c r="B226" s="1"/>
      <c r="C226" s="1"/>
      <c r="D226" s="1"/>
      <c r="E226" s="1"/>
      <c r="F226" s="1"/>
      <c r="G226" s="1"/>
      <c r="H226" s="1"/>
    </row>
    <row r="227" spans="2:8" x14ac:dyDescent="0.35">
      <c r="B227" s="1"/>
      <c r="C227" s="1"/>
      <c r="D227" s="1"/>
      <c r="E227" s="1"/>
      <c r="F227" s="1"/>
      <c r="G227" s="1"/>
      <c r="H227" s="1"/>
    </row>
    <row r="228" spans="2:8" x14ac:dyDescent="0.35">
      <c r="B228" s="1"/>
      <c r="C228" s="1"/>
      <c r="D228" s="1"/>
      <c r="E228" s="1"/>
      <c r="F228" s="1"/>
      <c r="G228" s="1"/>
      <c r="H228" s="1"/>
    </row>
    <row r="229" spans="2:8" x14ac:dyDescent="0.35">
      <c r="B229" s="1"/>
      <c r="C229" s="1"/>
      <c r="D229" s="1"/>
      <c r="E229" s="1"/>
      <c r="F229" s="1"/>
      <c r="G229" s="1"/>
      <c r="H229" s="1"/>
    </row>
    <row r="230" spans="2:8" x14ac:dyDescent="0.35">
      <c r="B230" s="1"/>
      <c r="C230" s="1"/>
      <c r="D230" s="1"/>
      <c r="E230" s="1"/>
      <c r="F230" s="1"/>
      <c r="G230" s="1"/>
      <c r="H230" s="1"/>
    </row>
    <row r="231" spans="2:8" x14ac:dyDescent="0.35">
      <c r="B231" s="1"/>
      <c r="C231" s="1"/>
      <c r="D231" s="1"/>
      <c r="E231" s="1"/>
      <c r="F231" s="1"/>
      <c r="G231" s="1"/>
      <c r="H231" s="1"/>
    </row>
    <row r="232" spans="2:8" x14ac:dyDescent="0.35">
      <c r="B232" s="1"/>
      <c r="C232" s="1"/>
      <c r="D232" s="1"/>
      <c r="E232" s="1"/>
      <c r="F232" s="1"/>
      <c r="G232" s="1"/>
      <c r="H232" s="1"/>
    </row>
    <row r="233" spans="2:8" x14ac:dyDescent="0.35">
      <c r="B233" s="1"/>
      <c r="C233" s="1"/>
      <c r="D233" s="1"/>
      <c r="E233" s="1"/>
      <c r="F233" s="1"/>
      <c r="G233" s="1"/>
      <c r="H233" s="1"/>
    </row>
    <row r="234" spans="2:8" x14ac:dyDescent="0.35">
      <c r="B234" s="1"/>
      <c r="C234" s="1"/>
      <c r="D234" s="1"/>
      <c r="E234" s="1"/>
      <c r="F234" s="1"/>
      <c r="G234" s="1"/>
      <c r="H234" s="1"/>
    </row>
    <row r="235" spans="2:8" x14ac:dyDescent="0.35">
      <c r="B235" s="1"/>
      <c r="C235" s="1"/>
      <c r="D235" s="1"/>
      <c r="E235" s="1"/>
      <c r="F235" s="1"/>
      <c r="G235" s="1"/>
      <c r="H235" s="1"/>
    </row>
    <row r="236" spans="2:8" x14ac:dyDescent="0.35">
      <c r="B236" s="1"/>
      <c r="C236" s="1"/>
      <c r="D236" s="1"/>
      <c r="E236" s="1"/>
      <c r="F236" s="1"/>
      <c r="G236" s="1"/>
      <c r="H236" s="1"/>
    </row>
    <row r="237" spans="2:8" x14ac:dyDescent="0.35">
      <c r="B237" s="1"/>
      <c r="C237" s="1"/>
      <c r="D237" s="1"/>
      <c r="E237" s="1"/>
      <c r="F237" s="1"/>
      <c r="G237" s="1"/>
      <c r="H237" s="1"/>
    </row>
    <row r="238" spans="2:8" x14ac:dyDescent="0.35">
      <c r="B238" s="1"/>
      <c r="C238" s="1"/>
      <c r="D238" s="1"/>
      <c r="E238" s="1"/>
      <c r="F238" s="1"/>
      <c r="G238" s="1"/>
      <c r="H238" s="1"/>
    </row>
    <row r="239" spans="2:8" x14ac:dyDescent="0.35">
      <c r="B239" s="1"/>
      <c r="C239" s="1"/>
      <c r="D239" s="1"/>
      <c r="E239" s="1"/>
      <c r="F239" s="1"/>
      <c r="G239" s="1"/>
      <c r="H239" s="1"/>
    </row>
    <row r="240" spans="2:8" x14ac:dyDescent="0.35">
      <c r="B240" s="1"/>
      <c r="C240" s="1"/>
      <c r="D240" s="1"/>
      <c r="E240" s="1"/>
      <c r="F240" s="1"/>
      <c r="G240" s="1"/>
      <c r="H240" s="1"/>
    </row>
    <row r="241" spans="2:8" x14ac:dyDescent="0.35">
      <c r="B241" s="1"/>
      <c r="C241" s="1"/>
      <c r="D241" s="1"/>
      <c r="E241" s="1"/>
      <c r="F241" s="1"/>
      <c r="G241" s="1"/>
      <c r="H241" s="1"/>
    </row>
    <row r="242" spans="2:8" x14ac:dyDescent="0.35">
      <c r="B242" s="1"/>
      <c r="C242" s="1"/>
      <c r="D242" s="1"/>
      <c r="E242" s="1"/>
      <c r="F242" s="1"/>
      <c r="G242" s="1"/>
      <c r="H242" s="1"/>
    </row>
    <row r="243" spans="2:8" x14ac:dyDescent="0.35">
      <c r="B243" s="1"/>
      <c r="C243" s="1"/>
      <c r="D243" s="1"/>
      <c r="E243" s="1"/>
      <c r="F243" s="1"/>
      <c r="G243" s="1"/>
      <c r="H243" s="1"/>
    </row>
    <row r="244" spans="2:8" x14ac:dyDescent="0.35">
      <c r="B244" s="1"/>
      <c r="C244" s="1"/>
      <c r="D244" s="1"/>
      <c r="E244" s="1"/>
      <c r="F244" s="1"/>
      <c r="G244" s="1"/>
      <c r="H244" s="1"/>
    </row>
    <row r="245" spans="2:8" x14ac:dyDescent="0.35">
      <c r="B245" s="1"/>
      <c r="C245" s="1"/>
      <c r="D245" s="1"/>
      <c r="E245" s="1"/>
      <c r="F245" s="1"/>
      <c r="G245" s="1"/>
      <c r="H245" s="1"/>
    </row>
    <row r="246" spans="2:8" x14ac:dyDescent="0.35">
      <c r="B246" s="1"/>
      <c r="C246" s="1"/>
      <c r="D246" s="1"/>
      <c r="E246" s="1"/>
      <c r="F246" s="1"/>
      <c r="G246" s="1"/>
      <c r="H246" s="1"/>
    </row>
    <row r="247" spans="2:8" x14ac:dyDescent="0.35">
      <c r="B247" s="1"/>
      <c r="C247" s="1"/>
      <c r="D247" s="1"/>
      <c r="E247" s="1"/>
      <c r="F247" s="1"/>
      <c r="G247" s="1"/>
      <c r="H247" s="1"/>
    </row>
    <row r="248" spans="2:8" x14ac:dyDescent="0.35">
      <c r="B248" s="1"/>
      <c r="C248" s="1"/>
      <c r="D248" s="1"/>
      <c r="E248" s="1"/>
      <c r="F248" s="1"/>
      <c r="G248" s="1"/>
      <c r="H248" s="1"/>
    </row>
    <row r="249" spans="2:8" x14ac:dyDescent="0.35">
      <c r="B249" s="1"/>
      <c r="C249" s="1"/>
      <c r="D249" s="1"/>
      <c r="E249" s="1"/>
      <c r="F249" s="1"/>
      <c r="G249" s="1"/>
      <c r="H249" s="1"/>
    </row>
    <row r="250" spans="2:8" x14ac:dyDescent="0.35">
      <c r="B250" s="1"/>
      <c r="C250" s="1"/>
      <c r="D250" s="1"/>
      <c r="E250" s="1"/>
      <c r="F250" s="1"/>
      <c r="G250" s="1"/>
      <c r="H250" s="1"/>
    </row>
    <row r="251" spans="2:8" x14ac:dyDescent="0.35">
      <c r="B251" s="1"/>
      <c r="C251" s="1"/>
      <c r="D251" s="1"/>
      <c r="E251" s="1"/>
      <c r="F251" s="1"/>
      <c r="G251" s="1"/>
      <c r="H251" s="1"/>
    </row>
    <row r="252" spans="2:8" x14ac:dyDescent="0.35">
      <c r="B252" s="1"/>
      <c r="C252" s="1"/>
      <c r="D252" s="1"/>
      <c r="E252" s="1"/>
      <c r="F252" s="1"/>
      <c r="G252" s="1"/>
      <c r="H252" s="1"/>
    </row>
    <row r="253" spans="2:8" x14ac:dyDescent="0.35">
      <c r="B253" s="1"/>
      <c r="C253" s="1"/>
      <c r="D253" s="1"/>
      <c r="E253" s="1"/>
      <c r="F253" s="1"/>
      <c r="G253" s="1"/>
      <c r="H253" s="1"/>
    </row>
  </sheetData>
  <sheetProtection formatCells="0" formatColumns="0" formatRows="0" insertColumns="0" insertRows="0" insertHyperlinks="0" deleteColumns="0" deleteRows="0" sort="0" autoFilter="0" pivotTables="0"/>
  <mergeCells count="1">
    <mergeCell ref="B2:E2"/>
  </mergeCells>
  <dataValidations count="3">
    <dataValidation type="list" allowBlank="1" showInputMessage="1" showErrorMessage="1" sqref="C6:C253" xr:uid="{58B0CBBD-E47C-477C-8C06-214CEDFF496C}">
      <formula1>"Expense, Income, Transfer"</formula1>
    </dataValidation>
    <dataValidation type="list" allowBlank="1" showInputMessage="1" showErrorMessage="1" sqref="D6:D253" xr:uid="{3C4929B5-FD38-4124-AD6D-1DAF1C068C10}">
      <formula1>Investments</formula1>
    </dataValidation>
    <dataValidation type="list" allowBlank="1" showInputMessage="1" showErrorMessage="1" sqref="E6:E253" xr:uid="{8AA164C6-2390-4E59-99CF-F4BC781BA050}">
      <formula1>INDIRECT(D6)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F204D-71CD-4B68-9A21-C68A514265C7}">
  <sheetPr codeName="Sheet7">
    <tabColor theme="5" tint="-0.499984740745262"/>
  </sheetPr>
  <dimension ref="A2:J50"/>
  <sheetViews>
    <sheetView workbookViewId="0">
      <selection activeCell="D3" sqref="D3:J6"/>
    </sheetView>
  </sheetViews>
  <sheetFormatPr defaultRowHeight="14.5" x14ac:dyDescent="0.35"/>
  <cols>
    <col min="2" max="2" width="17.90625" customWidth="1"/>
    <col min="5" max="5" width="14.7265625" customWidth="1"/>
    <col min="6" max="6" width="18.90625" customWidth="1"/>
    <col min="7" max="7" width="19.54296875" customWidth="1"/>
    <col min="9" max="9" width="11.26953125" customWidth="1"/>
    <col min="10" max="10" width="13.1796875" customWidth="1"/>
  </cols>
  <sheetData>
    <row r="2" spans="1:10" x14ac:dyDescent="0.35">
      <c r="A2" s="4" t="s">
        <v>25</v>
      </c>
      <c r="B2" s="4" t="s">
        <v>153</v>
      </c>
      <c r="D2" s="4" t="s">
        <v>25</v>
      </c>
      <c r="E2" s="4" t="s">
        <v>153</v>
      </c>
      <c r="F2" s="4" t="s">
        <v>13</v>
      </c>
      <c r="G2" s="4" t="s">
        <v>158</v>
      </c>
      <c r="H2" s="4" t="s">
        <v>159</v>
      </c>
      <c r="I2" s="4" t="s">
        <v>161</v>
      </c>
      <c r="J2" s="4" t="s">
        <v>162</v>
      </c>
    </row>
    <row r="3" spans="1:10" x14ac:dyDescent="0.35">
      <c r="A3" s="1">
        <v>1</v>
      </c>
      <c r="B3" s="1" t="s">
        <v>155</v>
      </c>
      <c r="D3" s="1">
        <v>1</v>
      </c>
      <c r="E3" s="1" t="s">
        <v>155</v>
      </c>
      <c r="F3" s="1" t="s">
        <v>160</v>
      </c>
      <c r="G3" s="1" t="s">
        <v>154</v>
      </c>
      <c r="H3" s="1" t="s">
        <v>148</v>
      </c>
      <c r="I3" s="1"/>
      <c r="J3" s="1"/>
    </row>
    <row r="4" spans="1:10" x14ac:dyDescent="0.35">
      <c r="A4" s="1">
        <v>2</v>
      </c>
      <c r="B4" s="1" t="s">
        <v>156</v>
      </c>
      <c r="D4" s="1">
        <v>2</v>
      </c>
      <c r="E4" s="1" t="s">
        <v>156</v>
      </c>
      <c r="F4" s="1" t="s">
        <v>211</v>
      </c>
      <c r="G4" s="1" t="s">
        <v>212</v>
      </c>
      <c r="H4" s="1"/>
      <c r="I4" s="1"/>
      <c r="J4" s="1"/>
    </row>
    <row r="5" spans="1:10" x14ac:dyDescent="0.35">
      <c r="A5" s="1">
        <v>3</v>
      </c>
      <c r="B5" s="1" t="s">
        <v>157</v>
      </c>
      <c r="D5" s="1">
        <v>3</v>
      </c>
      <c r="E5" s="1" t="s">
        <v>156</v>
      </c>
      <c r="F5" s="1" t="s">
        <v>214</v>
      </c>
      <c r="G5" s="1" t="s">
        <v>215</v>
      </c>
      <c r="H5" s="1"/>
      <c r="I5" s="1"/>
      <c r="J5" s="1"/>
    </row>
    <row r="6" spans="1:10" x14ac:dyDescent="0.35">
      <c r="A6" s="1"/>
      <c r="B6" s="1"/>
      <c r="D6" s="1"/>
      <c r="E6" s="1"/>
      <c r="F6" s="1"/>
      <c r="G6" s="1"/>
      <c r="H6" s="1"/>
      <c r="I6" s="1"/>
      <c r="J6" s="1"/>
    </row>
    <row r="7" spans="1:10" x14ac:dyDescent="0.35">
      <c r="A7" s="1"/>
      <c r="B7" s="1"/>
      <c r="D7" s="1"/>
      <c r="E7" s="1"/>
      <c r="F7" s="1"/>
      <c r="G7" s="1"/>
      <c r="H7" s="1"/>
      <c r="I7" s="1"/>
      <c r="J7" s="1"/>
    </row>
    <row r="8" spans="1:10" x14ac:dyDescent="0.35">
      <c r="A8" s="1"/>
      <c r="B8" s="1"/>
      <c r="D8" s="1"/>
      <c r="E8" s="1"/>
      <c r="F8" s="1"/>
      <c r="G8" s="1"/>
      <c r="H8" s="1"/>
      <c r="I8" s="1"/>
      <c r="J8" s="1"/>
    </row>
    <row r="9" spans="1:10" x14ac:dyDescent="0.35">
      <c r="A9" s="1"/>
      <c r="B9" s="1"/>
      <c r="D9" s="1"/>
      <c r="E9" s="1"/>
      <c r="F9" s="1"/>
      <c r="G9" s="1"/>
      <c r="H9" s="1"/>
      <c r="I9" s="1"/>
      <c r="J9" s="1"/>
    </row>
    <row r="10" spans="1:10" x14ac:dyDescent="0.35">
      <c r="A10" s="1"/>
      <c r="B10" s="1"/>
      <c r="D10" s="1"/>
      <c r="E10" s="1"/>
      <c r="F10" s="1"/>
      <c r="G10" s="1"/>
      <c r="H10" s="1"/>
      <c r="I10" s="1"/>
      <c r="J10" s="1"/>
    </row>
    <row r="11" spans="1:10" x14ac:dyDescent="0.35">
      <c r="A11" s="1"/>
      <c r="B11" s="1"/>
      <c r="D11" s="1"/>
      <c r="E11" s="1"/>
      <c r="F11" s="1"/>
      <c r="G11" s="1"/>
      <c r="H11" s="1"/>
      <c r="I11" s="1"/>
      <c r="J11" s="1"/>
    </row>
    <row r="12" spans="1:10" x14ac:dyDescent="0.35">
      <c r="A12" s="1"/>
      <c r="B12" s="1"/>
      <c r="D12" s="1"/>
      <c r="E12" s="1"/>
      <c r="F12" s="1"/>
      <c r="G12" s="1"/>
      <c r="H12" s="1"/>
      <c r="I12" s="1"/>
      <c r="J12" s="1"/>
    </row>
    <row r="13" spans="1:10" x14ac:dyDescent="0.35">
      <c r="A13" s="1"/>
      <c r="B13" s="1"/>
      <c r="D13" s="1"/>
      <c r="E13" s="1"/>
      <c r="F13" s="1"/>
      <c r="G13" s="1"/>
      <c r="H13" s="1"/>
      <c r="I13" s="1"/>
      <c r="J13" s="1"/>
    </row>
    <row r="14" spans="1:10" x14ac:dyDescent="0.35">
      <c r="A14" s="1"/>
      <c r="B14" s="1"/>
      <c r="D14" s="1"/>
      <c r="E14" s="1"/>
      <c r="F14" s="1"/>
      <c r="G14" s="1"/>
      <c r="H14" s="1"/>
      <c r="I14" s="1"/>
      <c r="J14" s="1"/>
    </row>
    <row r="15" spans="1:10" x14ac:dyDescent="0.35">
      <c r="A15" s="1"/>
      <c r="B15" s="1"/>
      <c r="D15" s="1"/>
      <c r="E15" s="1"/>
      <c r="F15" s="1"/>
      <c r="G15" s="1"/>
      <c r="H15" s="1"/>
      <c r="I15" s="1"/>
      <c r="J15" s="1"/>
    </row>
    <row r="16" spans="1:10" x14ac:dyDescent="0.35">
      <c r="A16" s="1"/>
      <c r="B16" s="1"/>
      <c r="D16" s="1"/>
      <c r="E16" s="1"/>
      <c r="F16" s="1"/>
      <c r="G16" s="1"/>
      <c r="H16" s="1"/>
      <c r="I16" s="1"/>
      <c r="J16" s="1"/>
    </row>
    <row r="17" spans="1:10" x14ac:dyDescent="0.35">
      <c r="A17" s="1"/>
      <c r="B17" s="1"/>
      <c r="D17" s="1"/>
      <c r="E17" s="1"/>
      <c r="F17" s="1"/>
      <c r="G17" s="1"/>
      <c r="H17" s="1"/>
      <c r="I17" s="1"/>
      <c r="J17" s="1"/>
    </row>
    <row r="18" spans="1:10" x14ac:dyDescent="0.35">
      <c r="A18" s="1"/>
      <c r="B18" s="1"/>
      <c r="D18" s="1"/>
      <c r="E18" s="1"/>
      <c r="F18" s="1"/>
      <c r="G18" s="1"/>
      <c r="H18" s="1"/>
      <c r="I18" s="1"/>
      <c r="J18" s="1"/>
    </row>
    <row r="19" spans="1:10" x14ac:dyDescent="0.35">
      <c r="A19" s="1"/>
      <c r="B19" s="1"/>
      <c r="D19" s="1"/>
      <c r="E19" s="1"/>
      <c r="F19" s="1"/>
      <c r="G19" s="1"/>
      <c r="H19" s="1"/>
      <c r="I19" s="1"/>
      <c r="J19" s="1"/>
    </row>
    <row r="20" spans="1:10" x14ac:dyDescent="0.35">
      <c r="A20" s="1"/>
      <c r="B20" s="1"/>
      <c r="D20" s="1"/>
      <c r="E20" s="1"/>
      <c r="F20" s="1"/>
      <c r="G20" s="1"/>
      <c r="H20" s="1"/>
      <c r="I20" s="1"/>
      <c r="J20" s="1"/>
    </row>
    <row r="21" spans="1:10" x14ac:dyDescent="0.35">
      <c r="A21" s="1"/>
      <c r="B21" s="1"/>
      <c r="D21" s="1"/>
      <c r="E21" s="1"/>
      <c r="F21" s="1"/>
      <c r="G21" s="1"/>
      <c r="H21" s="1"/>
      <c r="I21" s="1"/>
      <c r="J21" s="1"/>
    </row>
    <row r="22" spans="1:10" x14ac:dyDescent="0.35">
      <c r="A22" s="1"/>
      <c r="B22" s="1"/>
      <c r="D22" s="1"/>
      <c r="E22" s="1"/>
      <c r="F22" s="1"/>
      <c r="G22" s="1"/>
      <c r="H22" s="1"/>
      <c r="I22" s="1"/>
      <c r="J22" s="1"/>
    </row>
    <row r="23" spans="1:10" x14ac:dyDescent="0.35">
      <c r="A23" s="1"/>
      <c r="B23" s="1"/>
      <c r="D23" s="1"/>
      <c r="E23" s="1"/>
      <c r="F23" s="1"/>
      <c r="G23" s="1"/>
      <c r="H23" s="1"/>
      <c r="I23" s="1"/>
      <c r="J23" s="1"/>
    </row>
    <row r="24" spans="1:10" x14ac:dyDescent="0.35">
      <c r="A24" s="1"/>
      <c r="B24" s="1"/>
      <c r="D24" s="1"/>
      <c r="E24" s="1"/>
      <c r="F24" s="1"/>
      <c r="G24" s="1"/>
      <c r="H24" s="1"/>
      <c r="I24" s="1"/>
      <c r="J24" s="1"/>
    </row>
    <row r="25" spans="1:10" x14ac:dyDescent="0.35">
      <c r="A25" s="1"/>
      <c r="B25" s="1"/>
      <c r="D25" s="1"/>
      <c r="E25" s="1"/>
      <c r="F25" s="1"/>
      <c r="G25" s="1"/>
      <c r="H25" s="1"/>
      <c r="I25" s="1"/>
      <c r="J25" s="1"/>
    </row>
    <row r="26" spans="1:10" x14ac:dyDescent="0.35">
      <c r="A26" s="1"/>
      <c r="B26" s="1"/>
      <c r="D26" s="1"/>
      <c r="E26" s="1"/>
      <c r="F26" s="1"/>
      <c r="G26" s="1"/>
      <c r="H26" s="1"/>
      <c r="I26" s="1"/>
      <c r="J26" s="1"/>
    </row>
    <row r="27" spans="1:10" x14ac:dyDescent="0.35">
      <c r="A27" s="1"/>
      <c r="B27" s="1"/>
      <c r="D27" s="1"/>
      <c r="E27" s="1"/>
      <c r="F27" s="1"/>
      <c r="G27" s="1"/>
      <c r="H27" s="1"/>
      <c r="I27" s="1"/>
      <c r="J27" s="1"/>
    </row>
    <row r="28" spans="1:10" x14ac:dyDescent="0.35">
      <c r="A28" s="1"/>
      <c r="B28" s="1"/>
      <c r="D28" s="1"/>
      <c r="E28" s="1"/>
      <c r="F28" s="1"/>
      <c r="G28" s="1"/>
      <c r="H28" s="1"/>
      <c r="I28" s="1"/>
      <c r="J28" s="1"/>
    </row>
    <row r="29" spans="1:10" x14ac:dyDescent="0.35">
      <c r="A29" s="1"/>
      <c r="B29" s="1"/>
      <c r="D29" s="1"/>
      <c r="E29" s="1"/>
      <c r="F29" s="1"/>
      <c r="G29" s="1"/>
      <c r="H29" s="1"/>
      <c r="I29" s="1"/>
      <c r="J29" s="1"/>
    </row>
    <row r="30" spans="1:10" x14ac:dyDescent="0.35">
      <c r="A30" s="1"/>
      <c r="B30" s="1"/>
      <c r="D30" s="1"/>
      <c r="E30" s="1"/>
      <c r="F30" s="1"/>
      <c r="G30" s="1"/>
      <c r="H30" s="1"/>
      <c r="I30" s="1"/>
      <c r="J30" s="1"/>
    </row>
    <row r="31" spans="1:10" x14ac:dyDescent="0.35">
      <c r="A31" s="1"/>
      <c r="B31" s="1"/>
      <c r="D31" s="1"/>
      <c r="E31" s="1"/>
      <c r="F31" s="1"/>
      <c r="G31" s="1"/>
      <c r="H31" s="1"/>
      <c r="I31" s="1"/>
      <c r="J31" s="1"/>
    </row>
    <row r="32" spans="1:10" x14ac:dyDescent="0.35">
      <c r="A32" s="1"/>
      <c r="B32" s="1"/>
      <c r="D32" s="1"/>
      <c r="E32" s="1"/>
      <c r="F32" s="1"/>
      <c r="G32" s="1"/>
      <c r="H32" s="1"/>
      <c r="I32" s="1"/>
      <c r="J32" s="1"/>
    </row>
    <row r="33" spans="1:10" x14ac:dyDescent="0.35">
      <c r="A33" s="1"/>
      <c r="B33" s="1"/>
      <c r="D33" s="1"/>
      <c r="E33" s="1"/>
      <c r="F33" s="1"/>
      <c r="G33" s="1"/>
      <c r="H33" s="1"/>
      <c r="I33" s="1"/>
      <c r="J33" s="1"/>
    </row>
    <row r="34" spans="1:10" x14ac:dyDescent="0.35">
      <c r="A34" s="1"/>
      <c r="B34" s="1"/>
      <c r="D34" s="1"/>
      <c r="E34" s="1"/>
      <c r="F34" s="1"/>
      <c r="G34" s="1"/>
      <c r="H34" s="1"/>
      <c r="I34" s="1"/>
      <c r="J34" s="1"/>
    </row>
    <row r="35" spans="1:10" x14ac:dyDescent="0.35">
      <c r="A35" s="1"/>
      <c r="B35" s="1"/>
      <c r="D35" s="1"/>
      <c r="E35" s="1"/>
      <c r="F35" s="1"/>
      <c r="G35" s="1"/>
      <c r="H35" s="1"/>
      <c r="I35" s="1"/>
      <c r="J35" s="1"/>
    </row>
    <row r="36" spans="1:10" x14ac:dyDescent="0.35">
      <c r="A36" s="1"/>
      <c r="B36" s="1"/>
      <c r="D36" s="1"/>
      <c r="E36" s="1"/>
      <c r="F36" s="1"/>
      <c r="G36" s="1"/>
      <c r="H36" s="1"/>
      <c r="I36" s="1"/>
      <c r="J36" s="1"/>
    </row>
    <row r="37" spans="1:10" x14ac:dyDescent="0.35">
      <c r="A37" s="1"/>
      <c r="B37" s="1"/>
      <c r="D37" s="1"/>
      <c r="E37" s="1"/>
      <c r="F37" s="1"/>
      <c r="G37" s="1"/>
      <c r="H37" s="1"/>
      <c r="I37" s="1"/>
      <c r="J37" s="1"/>
    </row>
    <row r="38" spans="1:10" x14ac:dyDescent="0.35">
      <c r="A38" s="1"/>
      <c r="B38" s="1"/>
      <c r="D38" s="1"/>
      <c r="E38" s="1"/>
      <c r="F38" s="1"/>
      <c r="G38" s="1"/>
      <c r="H38" s="1"/>
      <c r="I38" s="1"/>
      <c r="J38" s="1"/>
    </row>
    <row r="39" spans="1:10" x14ac:dyDescent="0.35">
      <c r="A39" s="1"/>
      <c r="B39" s="1"/>
      <c r="D39" s="1"/>
      <c r="E39" s="1"/>
      <c r="F39" s="1"/>
      <c r="G39" s="1"/>
      <c r="H39" s="1"/>
      <c r="I39" s="1"/>
      <c r="J39" s="1"/>
    </row>
    <row r="40" spans="1:10" x14ac:dyDescent="0.35">
      <c r="A40" s="1"/>
      <c r="B40" s="1"/>
      <c r="D40" s="1"/>
      <c r="E40" s="1"/>
      <c r="F40" s="1"/>
      <c r="G40" s="1"/>
      <c r="H40" s="1"/>
      <c r="I40" s="1"/>
      <c r="J40" s="1"/>
    </row>
    <row r="41" spans="1:10" x14ac:dyDescent="0.35">
      <c r="A41" s="1"/>
      <c r="B41" s="1"/>
      <c r="D41" s="1"/>
      <c r="E41" s="1"/>
      <c r="F41" s="1"/>
      <c r="G41" s="1"/>
      <c r="H41" s="1"/>
      <c r="I41" s="1"/>
      <c r="J41" s="1"/>
    </row>
    <row r="42" spans="1:10" x14ac:dyDescent="0.35">
      <c r="A42" s="1"/>
      <c r="B42" s="1"/>
      <c r="D42" s="1"/>
      <c r="E42" s="1"/>
      <c r="F42" s="1"/>
      <c r="G42" s="1"/>
      <c r="H42" s="1"/>
      <c r="I42" s="1"/>
      <c r="J42" s="1"/>
    </row>
    <row r="43" spans="1:10" x14ac:dyDescent="0.35">
      <c r="A43" s="1"/>
      <c r="B43" s="1"/>
      <c r="D43" s="1"/>
      <c r="E43" s="1"/>
      <c r="F43" s="1"/>
      <c r="G43" s="1"/>
      <c r="H43" s="1"/>
      <c r="I43" s="1"/>
      <c r="J43" s="1"/>
    </row>
    <row r="44" spans="1:10" x14ac:dyDescent="0.35">
      <c r="A44" s="1"/>
      <c r="B44" s="1"/>
      <c r="D44" s="1"/>
      <c r="E44" s="1"/>
      <c r="F44" s="1"/>
      <c r="G44" s="1"/>
      <c r="H44" s="1"/>
      <c r="I44" s="1"/>
      <c r="J44" s="1"/>
    </row>
    <row r="45" spans="1:10" x14ac:dyDescent="0.35">
      <c r="A45" s="1"/>
      <c r="B45" s="1"/>
      <c r="D45" s="1"/>
      <c r="E45" s="1"/>
      <c r="F45" s="1"/>
      <c r="G45" s="1"/>
      <c r="H45" s="1"/>
      <c r="I45" s="1"/>
      <c r="J45" s="1"/>
    </row>
    <row r="46" spans="1:10" x14ac:dyDescent="0.35">
      <c r="A46" s="1"/>
      <c r="B46" s="1"/>
      <c r="D46" s="1"/>
      <c r="E46" s="1"/>
      <c r="F46" s="1"/>
      <c r="G46" s="1"/>
      <c r="H46" s="1"/>
      <c r="I46" s="1"/>
      <c r="J46" s="1"/>
    </row>
    <row r="47" spans="1:10" x14ac:dyDescent="0.35">
      <c r="A47" s="1"/>
      <c r="B47" s="1"/>
      <c r="D47" s="1"/>
      <c r="E47" s="1"/>
      <c r="F47" s="1"/>
      <c r="G47" s="1"/>
      <c r="H47" s="1"/>
      <c r="I47" s="1"/>
      <c r="J47" s="1"/>
    </row>
    <row r="48" spans="1:10" x14ac:dyDescent="0.35">
      <c r="A48" s="1"/>
      <c r="B48" s="1"/>
      <c r="D48" s="1"/>
      <c r="E48" s="1"/>
      <c r="F48" s="1"/>
      <c r="G48" s="1"/>
      <c r="H48" s="1"/>
      <c r="I48" s="1"/>
      <c r="J48" s="1"/>
    </row>
    <row r="49" spans="1:10" x14ac:dyDescent="0.35">
      <c r="A49" s="1"/>
      <c r="B49" s="1"/>
      <c r="D49" s="1"/>
      <c r="E49" s="1"/>
      <c r="F49" s="1"/>
      <c r="G49" s="1"/>
      <c r="H49" s="1"/>
      <c r="I49" s="1"/>
      <c r="J49" s="1"/>
    </row>
    <row r="50" spans="1:10" x14ac:dyDescent="0.35">
      <c r="A50" s="1"/>
      <c r="B50" s="1"/>
      <c r="D50" s="1"/>
      <c r="E50" s="1"/>
      <c r="F50" s="1"/>
      <c r="G50" s="1"/>
      <c r="H50" s="1"/>
      <c r="I50" s="1"/>
      <c r="J50" s="1"/>
    </row>
  </sheetData>
  <dataValidations count="1">
    <dataValidation type="list" allowBlank="1" showInputMessage="1" showErrorMessage="1" sqref="E3:E50 F3" xr:uid="{B44CB789-0CA7-440F-A92A-0784CFF8E9EC}">
      <formula1>VendorCategory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DAAD7-9DF9-463B-87E9-729F87C93B4F}">
  <sheetPr codeName="Sheet8">
    <tabColor theme="7" tint="-0.249977111117893"/>
  </sheetPr>
  <dimension ref="A2:C11"/>
  <sheetViews>
    <sheetView workbookViewId="0">
      <selection activeCell="G15" sqref="G15"/>
    </sheetView>
  </sheetViews>
  <sheetFormatPr defaultRowHeight="14.5" x14ac:dyDescent="0.35"/>
  <cols>
    <col min="2" max="2" width="21.6328125" customWidth="1"/>
    <col min="3" max="3" width="18.08984375" customWidth="1"/>
  </cols>
  <sheetData>
    <row r="2" spans="1:3" x14ac:dyDescent="0.35">
      <c r="A2" s="4" t="s">
        <v>25</v>
      </c>
      <c r="B2" s="4" t="s">
        <v>13</v>
      </c>
      <c r="C2" s="4" t="s">
        <v>34</v>
      </c>
    </row>
    <row r="3" spans="1:3" x14ac:dyDescent="0.35">
      <c r="A3" s="1">
        <v>1</v>
      </c>
      <c r="B3" s="1" t="s">
        <v>26</v>
      </c>
      <c r="C3" s="1" t="s">
        <v>29</v>
      </c>
    </row>
    <row r="4" spans="1:3" x14ac:dyDescent="0.35">
      <c r="A4" s="1">
        <v>2</v>
      </c>
      <c r="B4" s="1" t="s">
        <v>30</v>
      </c>
      <c r="C4" s="1" t="s">
        <v>31</v>
      </c>
    </row>
    <row r="5" spans="1:3" x14ac:dyDescent="0.35">
      <c r="A5" s="1">
        <v>3</v>
      </c>
      <c r="B5" s="1" t="s">
        <v>32</v>
      </c>
      <c r="C5" s="1" t="s">
        <v>33</v>
      </c>
    </row>
    <row r="6" spans="1:3" x14ac:dyDescent="0.35">
      <c r="A6" s="1">
        <v>4</v>
      </c>
      <c r="B6" s="1" t="s">
        <v>28</v>
      </c>
      <c r="C6" s="1" t="s">
        <v>105</v>
      </c>
    </row>
    <row r="7" spans="1:3" x14ac:dyDescent="0.35">
      <c r="A7" s="1">
        <v>5</v>
      </c>
      <c r="B7" s="1" t="s">
        <v>70</v>
      </c>
      <c r="C7" s="1" t="s">
        <v>102</v>
      </c>
    </row>
    <row r="8" spans="1:3" x14ac:dyDescent="0.35">
      <c r="A8" s="1">
        <v>6</v>
      </c>
      <c r="B8" s="1" t="s">
        <v>71</v>
      </c>
      <c r="C8" s="1" t="s">
        <v>103</v>
      </c>
    </row>
    <row r="9" spans="1:3" x14ac:dyDescent="0.35">
      <c r="A9" s="1">
        <v>7</v>
      </c>
      <c r="B9" s="1" t="s">
        <v>72</v>
      </c>
      <c r="C9" s="1" t="s">
        <v>104</v>
      </c>
    </row>
    <row r="10" spans="1:3" x14ac:dyDescent="0.35">
      <c r="A10" s="1">
        <v>8</v>
      </c>
      <c r="B10" s="1" t="s">
        <v>73</v>
      </c>
      <c r="C10" s="1" t="s">
        <v>102</v>
      </c>
    </row>
    <row r="11" spans="1:3" x14ac:dyDescent="0.35">
      <c r="A11" s="1">
        <v>9</v>
      </c>
      <c r="B11" s="1" t="s">
        <v>74</v>
      </c>
      <c r="C11" s="1" t="s">
        <v>104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277DD-80C1-4D59-B7CE-17703637CB22}">
  <sheetPr codeName="Sheet9">
    <tabColor theme="4" tint="-0.249977111117893"/>
  </sheetPr>
  <dimension ref="A2:W11"/>
  <sheetViews>
    <sheetView topLeftCell="G1" workbookViewId="0">
      <selection activeCell="J14" sqref="J14"/>
    </sheetView>
  </sheetViews>
  <sheetFormatPr defaultRowHeight="14.5" x14ac:dyDescent="0.35"/>
  <cols>
    <col min="1" max="1" width="4.81640625" customWidth="1"/>
    <col min="2" max="2" width="11.81640625" customWidth="1"/>
    <col min="3" max="3" width="1.54296875" customWidth="1"/>
    <col min="4" max="4" width="6.1796875" customWidth="1"/>
    <col min="5" max="5" width="12.7265625" customWidth="1"/>
    <col min="6" max="6" width="1.08984375" customWidth="1"/>
    <col min="8" max="8" width="48.26953125" customWidth="1"/>
    <col min="9" max="9" width="1.6328125" customWidth="1"/>
    <col min="12" max="12" width="2" customWidth="1"/>
    <col min="15" max="15" width="2" customWidth="1"/>
    <col min="17" max="17" width="9.6328125" customWidth="1"/>
    <col min="18" max="18" width="1.7265625" customWidth="1"/>
    <col min="21" max="21" width="1.08984375" customWidth="1"/>
  </cols>
  <sheetData>
    <row r="2" spans="1:23" x14ac:dyDescent="0.35">
      <c r="A2" s="108" t="s">
        <v>1</v>
      </c>
      <c r="B2" s="108"/>
      <c r="C2" s="32"/>
      <c r="D2" s="108" t="s">
        <v>194</v>
      </c>
      <c r="E2" s="108"/>
      <c r="G2" s="108" t="s">
        <v>5</v>
      </c>
      <c r="H2" s="108"/>
      <c r="J2" s="108" t="s">
        <v>98</v>
      </c>
      <c r="K2" s="108"/>
      <c r="M2" s="52" t="s">
        <v>185</v>
      </c>
      <c r="N2" s="54"/>
      <c r="P2" s="108" t="s">
        <v>34</v>
      </c>
      <c r="Q2" s="108"/>
      <c r="S2" s="108" t="s">
        <v>203</v>
      </c>
      <c r="T2" s="108"/>
      <c r="V2" s="108" t="s">
        <v>199</v>
      </c>
      <c r="W2" s="108"/>
    </row>
    <row r="3" spans="1:23" x14ac:dyDescent="0.35">
      <c r="A3" s="3" t="s">
        <v>25</v>
      </c>
      <c r="B3" s="3" t="s">
        <v>0</v>
      </c>
      <c r="C3" s="32"/>
      <c r="D3" s="3" t="s">
        <v>25</v>
      </c>
      <c r="E3" s="3" t="s">
        <v>4</v>
      </c>
      <c r="G3" s="3" t="s">
        <v>25</v>
      </c>
      <c r="H3" s="3" t="s">
        <v>4</v>
      </c>
      <c r="J3" s="3" t="s">
        <v>25</v>
      </c>
      <c r="K3" s="3" t="s">
        <v>4</v>
      </c>
      <c r="M3" s="3" t="s">
        <v>25</v>
      </c>
      <c r="N3" s="3" t="s">
        <v>4</v>
      </c>
      <c r="P3" s="3" t="s">
        <v>25</v>
      </c>
      <c r="Q3" s="3" t="s">
        <v>4</v>
      </c>
      <c r="S3" s="3" t="s">
        <v>25</v>
      </c>
      <c r="T3" s="3" t="s">
        <v>4</v>
      </c>
      <c r="V3" s="3" t="s">
        <v>25</v>
      </c>
      <c r="W3" s="3" t="s">
        <v>4</v>
      </c>
    </row>
    <row r="4" spans="1:23" x14ac:dyDescent="0.35">
      <c r="A4" s="1">
        <v>1</v>
      </c>
      <c r="B4" s="1" t="s">
        <v>2</v>
      </c>
      <c r="D4" s="1">
        <v>1</v>
      </c>
      <c r="E4" s="1" t="s">
        <v>195</v>
      </c>
      <c r="G4" s="1">
        <v>1</v>
      </c>
      <c r="H4" s="1" t="s">
        <v>6</v>
      </c>
      <c r="J4" s="1">
        <v>1</v>
      </c>
      <c r="K4" s="1" t="s">
        <v>78</v>
      </c>
      <c r="M4" s="1">
        <v>1</v>
      </c>
      <c r="N4" s="1" t="s">
        <v>186</v>
      </c>
      <c r="P4" s="1">
        <v>1</v>
      </c>
      <c r="Q4" s="1" t="s">
        <v>191</v>
      </c>
      <c r="S4" s="1">
        <v>1</v>
      </c>
      <c r="T4" s="1" t="s">
        <v>197</v>
      </c>
      <c r="V4" s="1">
        <v>1</v>
      </c>
      <c r="W4" s="1" t="s">
        <v>200</v>
      </c>
    </row>
    <row r="5" spans="1:23" x14ac:dyDescent="0.35">
      <c r="A5" s="1">
        <v>2</v>
      </c>
      <c r="B5" s="1" t="s">
        <v>12</v>
      </c>
      <c r="D5" s="1">
        <v>2</v>
      </c>
      <c r="E5" s="1" t="s">
        <v>196</v>
      </c>
      <c r="G5" s="1">
        <v>2</v>
      </c>
      <c r="H5" s="1" t="s">
        <v>7</v>
      </c>
      <c r="J5" s="1">
        <v>2</v>
      </c>
      <c r="K5" s="1" t="s">
        <v>96</v>
      </c>
      <c r="M5" s="1">
        <v>2</v>
      </c>
      <c r="N5" s="1" t="s">
        <v>180</v>
      </c>
      <c r="P5" s="1">
        <v>2</v>
      </c>
      <c r="Q5" s="1" t="s">
        <v>187</v>
      </c>
      <c r="S5" s="1">
        <v>2</v>
      </c>
      <c r="T5" s="1" t="s">
        <v>198</v>
      </c>
      <c r="V5" s="1">
        <v>2</v>
      </c>
      <c r="W5" s="1" t="s">
        <v>201</v>
      </c>
    </row>
    <row r="6" spans="1:23" x14ac:dyDescent="0.35">
      <c r="A6" s="1">
        <v>3</v>
      </c>
      <c r="B6" s="1" t="s">
        <v>3</v>
      </c>
      <c r="G6" s="1">
        <v>3</v>
      </c>
      <c r="H6" s="1" t="s">
        <v>8</v>
      </c>
      <c r="J6" s="1">
        <v>3</v>
      </c>
      <c r="K6" s="1" t="s">
        <v>97</v>
      </c>
      <c r="M6" s="1">
        <v>3</v>
      </c>
      <c r="N6" s="1" t="s">
        <v>137</v>
      </c>
      <c r="P6" s="1">
        <v>3</v>
      </c>
      <c r="Q6" s="1" t="s">
        <v>188</v>
      </c>
      <c r="V6" s="1">
        <v>3</v>
      </c>
      <c r="W6" s="1" t="s">
        <v>202</v>
      </c>
    </row>
    <row r="7" spans="1:23" x14ac:dyDescent="0.35">
      <c r="G7" s="1">
        <v>4</v>
      </c>
      <c r="H7" s="1" t="s">
        <v>11</v>
      </c>
      <c r="M7" s="1">
        <v>4</v>
      </c>
      <c r="N7" s="1" t="s">
        <v>95</v>
      </c>
      <c r="P7" s="1">
        <v>4</v>
      </c>
      <c r="Q7" s="1" t="s">
        <v>189</v>
      </c>
    </row>
    <row r="8" spans="1:23" x14ac:dyDescent="0.35">
      <c r="G8" s="1">
        <v>5</v>
      </c>
      <c r="H8" s="1" t="s">
        <v>9</v>
      </c>
      <c r="P8" s="1">
        <v>5</v>
      </c>
      <c r="Q8" s="1" t="s">
        <v>190</v>
      </c>
    </row>
    <row r="9" spans="1:23" x14ac:dyDescent="0.35">
      <c r="G9" s="1">
        <v>6</v>
      </c>
      <c r="H9" s="1" t="s">
        <v>10</v>
      </c>
    </row>
    <row r="10" spans="1:23" x14ac:dyDescent="0.35">
      <c r="G10" s="1">
        <v>7</v>
      </c>
      <c r="H10" s="1" t="s">
        <v>36</v>
      </c>
    </row>
    <row r="11" spans="1:23" x14ac:dyDescent="0.35">
      <c r="G11" s="1">
        <v>8</v>
      </c>
      <c r="H11" s="1" t="s">
        <v>130</v>
      </c>
    </row>
  </sheetData>
  <mergeCells count="8">
    <mergeCell ref="S2:T2"/>
    <mergeCell ref="V2:W2"/>
    <mergeCell ref="A2:B2"/>
    <mergeCell ref="G2:H2"/>
    <mergeCell ref="J2:K2"/>
    <mergeCell ref="M2:N2"/>
    <mergeCell ref="P2:Q2"/>
    <mergeCell ref="D2:E2"/>
  </mergeCells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Dashboard</vt:lpstr>
      <vt:lpstr>TO DO</vt:lpstr>
      <vt:lpstr>Asset</vt:lpstr>
      <vt:lpstr>Event Planner-2025</vt:lpstr>
      <vt:lpstr>Expense Tracker-2025</vt:lpstr>
      <vt:lpstr>Vendors</vt:lpstr>
      <vt:lpstr>Team</vt:lpstr>
      <vt:lpstr>Configuration</vt:lpstr>
      <vt:lpstr>Asset</vt:lpstr>
      <vt:lpstr>AssetCategory</vt:lpstr>
      <vt:lpstr>AssetStatus</vt:lpstr>
      <vt:lpstr>Investments</vt:lpstr>
      <vt:lpstr>PaymentMode</vt:lpstr>
      <vt:lpstr>PaymentStatus</vt:lpstr>
      <vt:lpstr>Role</vt:lpstr>
      <vt:lpstr>ServiceProvided</vt:lpstr>
      <vt:lpstr>Status</vt:lpstr>
      <vt:lpstr>Team</vt:lpstr>
      <vt:lpstr>Vendor</vt:lpstr>
      <vt:lpstr>VendorCategory</vt:lpstr>
    </vt:vector>
  </TitlesOfParts>
  <Company>Sky Italia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GLORY Kumudha - CIEC</dc:creator>
  <cp:lastModifiedBy>GLORY Kumudha - CIEC</cp:lastModifiedBy>
  <cp:lastPrinted>2025-10-09T07:22:31Z</cp:lastPrinted>
  <dcterms:created xsi:type="dcterms:W3CDTF">2025-10-03T05:32:48Z</dcterms:created>
  <dcterms:modified xsi:type="dcterms:W3CDTF">2025-10-09T08:30:34Z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5631b75-631d-4511-af08-6963e194a89c_Enabled">
    <vt:lpwstr>true</vt:lpwstr>
  </property>
  <property fmtid="{D5CDD505-2E9C-101B-9397-08002B2CF9AE}" pid="3" name="MSIP_Label_75631b75-631d-4511-af08-6963e194a89c_SetDate">
    <vt:lpwstr>2025-10-03T05:38:58Z</vt:lpwstr>
  </property>
  <property fmtid="{D5CDD505-2E9C-101B-9397-08002B2CF9AE}" pid="4" name="MSIP_Label_75631b75-631d-4511-af08-6963e194a89c_Method">
    <vt:lpwstr>Privileged</vt:lpwstr>
  </property>
  <property fmtid="{D5CDD505-2E9C-101B-9397-08002B2CF9AE}" pid="5" name="MSIP_Label_75631b75-631d-4511-af08-6963e194a89c_Name">
    <vt:lpwstr>Confidential - Prod</vt:lpwstr>
  </property>
  <property fmtid="{D5CDD505-2E9C-101B-9397-08002B2CF9AE}" pid="6" name="MSIP_Label_75631b75-631d-4511-af08-6963e194a89c_SiteId">
    <vt:lpwstr>68b865d5-cf18-4b2b-82a4-a4eddb9c5237</vt:lpwstr>
  </property>
  <property fmtid="{D5CDD505-2E9C-101B-9397-08002B2CF9AE}" pid="7" name="MSIP_Label_75631b75-631d-4511-af08-6963e194a89c_ActionId">
    <vt:lpwstr>af6b0458-e172-4d7c-968c-057aa0911fdb</vt:lpwstr>
  </property>
  <property fmtid="{D5CDD505-2E9C-101B-9397-08002B2CF9AE}" pid="8" name="MSIP_Label_75631b75-631d-4511-af08-6963e194a89c_ContentBits">
    <vt:lpwstr>0</vt:lpwstr>
  </property>
  <property fmtid="{D5CDD505-2E9C-101B-9397-08002B2CF9AE}" pid="9" name="MSIP_Label_75631b75-631d-4511-af08-6963e194a89c_Tag">
    <vt:lpwstr>10, 0, 1, 1</vt:lpwstr>
  </property>
</Properties>
</file>